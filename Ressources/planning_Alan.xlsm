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10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68A6BF0E-3099-4A8B-BC6A-D91DDB35DDC2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Data" sheetId="1" r:id="rId1"/>
    <sheet name="Planning" sheetId="2" r:id="rId2"/>
  </sheets>
  <functionGroups builtInGroupCount="19"/>
  <calcPr calcId="191029" concurrentCalc="0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6" i="1" l="1"/>
  <c r="F6" i="1"/>
  <c r="H5" i="1"/>
  <c r="F5" i="1"/>
  <c r="H4" i="1"/>
  <c r="F4" i="1"/>
  <c r="H3" i="1"/>
  <c r="F3" i="1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H9" i="1"/>
  <c r="H8" i="1"/>
  <c r="H7" i="1"/>
  <c r="H2" i="1"/>
  <c r="F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B3" authorId="0" shapeId="0" xr:uid="{00000000-0006-0000-0100-000001000000}">
      <text>
        <r>
          <rPr>
            <sz val="9"/>
            <color rgb="FF000000"/>
            <rFont val="Tahoma"/>
            <family val="2"/>
            <charset val="1"/>
          </rPr>
          <t>Noël</t>
        </r>
      </text>
    </comment>
  </commentList>
</comments>
</file>

<file path=xl/sharedStrings.xml><?xml version="1.0" encoding="utf-8"?>
<sst xmlns="http://schemas.openxmlformats.org/spreadsheetml/2006/main" count="29" uniqueCount="24">
  <si>
    <t>Id</t>
  </si>
  <si>
    <t>Tâches</t>
  </si>
  <si>
    <t>Opérateurs</t>
  </si>
  <si>
    <t>Début</t>
  </si>
  <si>
    <t>Durée (j)</t>
  </si>
  <si>
    <t>Fin</t>
  </si>
  <si>
    <t>Avancement</t>
  </si>
  <si>
    <t>Réalisé_date</t>
  </si>
  <si>
    <t>Création de la base de données</t>
  </si>
  <si>
    <t>Alan</t>
  </si>
  <si>
    <t>Axel / Alan</t>
  </si>
  <si>
    <t>Ajout au panier</t>
  </si>
  <si>
    <t>Affichage panier</t>
  </si>
  <si>
    <t>Nb mois à afficher :</t>
  </si>
  <si>
    <t>décembre 2020</t>
  </si>
  <si>
    <t>Inscription (back)</t>
  </si>
  <si>
    <t>Connexion (back)</t>
  </si>
  <si>
    <t>Affichage produit (back)</t>
  </si>
  <si>
    <t>Affichage panier (back)</t>
  </si>
  <si>
    <t>Ajout au panier (back)</t>
  </si>
  <si>
    <t>Connexion</t>
  </si>
  <si>
    <t>Affichage produit</t>
  </si>
  <si>
    <t>Modification du profil</t>
  </si>
  <si>
    <t>MCD -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</si>
</sst>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\€* #,##0.00_);_(\€* \(#,##0.00\);_(\€* \-??_);_(@_)"/>
    <numFmt numFmtId="165" formatCode="0\ %"/>
    <numFmt numFmtId="166" formatCode="[$-40C]d\-mmm;@"/>
    <numFmt numFmtId="167" formatCode="ddd\ * dd"/>
    <numFmt numFmtId="168" formatCode="&quot;sem  &quot;00"/>
    <numFmt numFmtId="169" formatCode="dd"/>
  </numFmts>
  <fonts count="17" x14ac:knownFonts="1">
    <font>
      <sz val="11"/>
      <color rgb="FF000000"/>
      <name val="Calibri"/>
      <family val="2"/>
      <charset val="1"/>
    </font>
    <font>
      <b/>
      <sz val="11"/>
      <color rgb="FF0D0D0D"/>
      <name val="Calibri"/>
      <family val="2"/>
      <charset val="1"/>
    </font>
    <font>
      <sz val="8"/>
      <color rgb="FFFFFFFF"/>
      <name val="Calibri"/>
      <family val="2"/>
      <charset val="1"/>
    </font>
    <font>
      <b/>
      <sz val="9"/>
      <color rgb="FF000000"/>
      <name val="Calibri"/>
      <family val="2"/>
      <charset val="1"/>
    </font>
    <font>
      <sz val="11"/>
      <color rgb="FFF2F2F2"/>
      <name val="Calibri"/>
      <family val="2"/>
      <charset val="1"/>
    </font>
    <font>
      <b/>
      <sz val="11"/>
      <color rgb="FFF2F2F2"/>
      <name val="Calibri"/>
      <family val="2"/>
      <charset val="1"/>
    </font>
    <font>
      <b/>
      <sz val="1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9"/>
      <name val="Calibri"/>
      <family val="2"/>
      <charset val="1"/>
    </font>
    <font>
      <b/>
      <i/>
      <sz val="11"/>
      <color rgb="FF404040"/>
      <name val="Calibri"/>
      <family val="2"/>
      <charset val="1"/>
    </font>
    <font>
      <b/>
      <i/>
      <sz val="9"/>
      <color rgb="FF404040"/>
      <name val="Calibri"/>
      <family val="2"/>
      <charset val="1"/>
    </font>
    <font>
      <b/>
      <i/>
      <sz val="8"/>
      <color rgb="FF262626"/>
      <name val="Calibri"/>
      <family val="2"/>
      <charset val="1"/>
    </font>
    <font>
      <sz val="9"/>
      <color rgb="FFC0C0C0"/>
      <name val="Calibri"/>
      <family val="2"/>
      <charset val="1"/>
    </font>
    <font>
      <sz val="10"/>
      <name val="Calibri"/>
      <family val="2"/>
      <charset val="1"/>
    </font>
    <font>
      <sz val="9"/>
      <color rgb="FF000000"/>
      <name val="Tahoma"/>
      <family val="2"/>
      <charset val="1"/>
    </font>
    <font>
      <sz val="11"/>
      <color rgb="FF000000"/>
      <name val="Calibri"/>
      <family val="2"/>
      <charset val="1"/>
    </font>
    <font>
      <sz val="11"/>
      <color indexed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9DC3E6"/>
        <bgColor rgb="FFC0C0C0"/>
      </patternFill>
    </fill>
    <fill>
      <patternFill patternType="solid">
        <fgColor rgb="FFFFFFFF"/>
        <bgColor rgb="FFFAFAFA"/>
      </patternFill>
    </fill>
    <fill>
      <patternFill patternType="solid">
        <fgColor rgb="FFFAFAFA"/>
        <bgColor rgb="FFFFFFFF"/>
      </patternFill>
    </fill>
    <fill>
      <patternFill patternType="solid">
        <fgColor rgb="FFC8C8C8"/>
        <bgColor rgb="FFC0C0C0"/>
      </patternFill>
    </fill>
    <fill>
      <patternFill patternType="solid">
        <fgColor rgb="FFEEE8AA"/>
        <bgColor rgb="FFFFCC99"/>
      </patternFill>
    </fill>
    <fill>
      <patternFill patternType="solid">
        <fgColor rgb="FF92D050"/>
        <bgColor rgb="FFC0C0C0"/>
      </patternFill>
    </fill>
    <fill>
      <patternFill patternType="solid">
        <fgColor rgb="FFDEEBF7"/>
        <bgColor rgb="FFF2F2F2"/>
      </patternFill>
    </fill>
    <fill>
      <patternFill patternType="solid">
        <fgColor rgb="FF00B0F0"/>
        <bgColor rgb="FF33CCCC"/>
      </patternFill>
    </fill>
    <fill>
      <patternFill patternType="solid">
        <fgColor rgb="FFFFC000"/>
        <bgColor rgb="FFFF99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993300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5" fillId="0" borderId="0" applyBorder="0" applyProtection="0"/>
    <xf numFmtId="165" fontId="15" fillId="0" borderId="0" applyBorder="0" applyProtection="0"/>
    <xf numFmtId="0" fontId="15" fillId="0" borderId="0" applyProtection="0"/>
  </cellStyleXfs>
  <cellXfs count="54">
    <xf numFmtId="0" fontId="0" fillId="0" borderId="0" xfId="0"/>
    <xf numFmtId="0" fontId="7" fillId="3" borderId="11" xfId="0" applyFont="1" applyFill="1" applyBorder="1" applyAlignment="1">
      <alignment horizontal="center" vertical="center"/>
    </xf>
    <xf numFmtId="164" fontId="0" fillId="0" borderId="0" xfId="1" applyFont="1" applyBorder="1" applyAlignment="1" applyProtection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4" fontId="0" fillId="0" borderId="0" xfId="0" applyNumberFormat="1"/>
    <xf numFmtId="0" fontId="0" fillId="0" borderId="4" xfId="0" applyBorder="1" applyAlignment="1">
      <alignment horizontal="center"/>
    </xf>
    <xf numFmtId="0" fontId="0" fillId="0" borderId="5" xfId="0" applyFont="1" applyBorder="1" applyProtection="1"/>
    <xf numFmtId="14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5" xfId="0" applyNumberFormat="1" applyBorder="1"/>
    <xf numFmtId="165" fontId="0" fillId="0" borderId="5" xfId="2" applyFont="1" applyBorder="1" applyAlignment="1" applyProtection="1">
      <alignment horizontal="center"/>
    </xf>
    <xf numFmtId="14" fontId="0" fillId="0" borderId="6" xfId="0" applyNumberFormat="1" applyBorder="1"/>
    <xf numFmtId="0" fontId="0" fillId="3" borderId="4" xfId="0" applyFill="1" applyBorder="1" applyAlignment="1">
      <alignment horizontal="center"/>
    </xf>
    <xf numFmtId="164" fontId="0" fillId="0" borderId="5" xfId="1" applyFont="1" applyBorder="1" applyAlignment="1" applyProtection="1"/>
    <xf numFmtId="0" fontId="0" fillId="0" borderId="5" xfId="0" applyBorder="1"/>
    <xf numFmtId="0" fontId="0" fillId="0" borderId="6" xfId="0" applyBorder="1"/>
    <xf numFmtId="164" fontId="0" fillId="0" borderId="7" xfId="1" applyFont="1" applyBorder="1" applyAlignment="1" applyProtection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2" fillId="0" borderId="0" xfId="0" applyFont="1" applyAlignment="1">
      <alignment vertical="top"/>
    </xf>
    <xf numFmtId="0" fontId="0" fillId="3" borderId="0" xfId="0" applyFill="1"/>
    <xf numFmtId="0" fontId="3" fillId="0" borderId="0" xfId="0" applyFont="1" applyAlignment="1">
      <alignment horizontal="right" vertical="center"/>
    </xf>
    <xf numFmtId="0" fontId="4" fillId="3" borderId="0" xfId="0" applyFont="1" applyFill="1"/>
    <xf numFmtId="0" fontId="5" fillId="3" borderId="0" xfId="0" applyFont="1" applyFill="1" applyAlignment="1" applyProtection="1">
      <alignment horizontal="center"/>
    </xf>
    <xf numFmtId="14" fontId="5" fillId="3" borderId="0" xfId="0" applyNumberFormat="1" applyFont="1" applyFill="1" applyAlignment="1" applyProtection="1">
      <alignment horizontal="center"/>
    </xf>
    <xf numFmtId="166" fontId="6" fillId="4" borderId="9" xfId="0" applyNumberFormat="1" applyFont="1" applyFill="1" applyBorder="1" applyAlignment="1">
      <alignment horizontal="center" textRotation="90"/>
    </xf>
    <xf numFmtId="166" fontId="6" fillId="4" borderId="10" xfId="0" applyNumberFormat="1" applyFont="1" applyFill="1" applyBorder="1" applyAlignment="1">
      <alignment horizontal="center" textRotation="90"/>
    </xf>
    <xf numFmtId="166" fontId="6" fillId="4" borderId="12" xfId="0" applyNumberFormat="1" applyFont="1" applyFill="1" applyBorder="1" applyAlignment="1">
      <alignment horizontal="center" textRotation="90"/>
    </xf>
    <xf numFmtId="166" fontId="6" fillId="4" borderId="13" xfId="0" applyNumberFormat="1" applyFont="1" applyFill="1" applyBorder="1" applyAlignment="1">
      <alignment horizontal="center" textRotation="90"/>
    </xf>
    <xf numFmtId="167" fontId="8" fillId="3" borderId="11" xfId="0" applyNumberFormat="1" applyFont="1" applyFill="1" applyBorder="1" applyAlignment="1">
      <alignment horizontal="center" textRotation="90"/>
    </xf>
    <xf numFmtId="167" fontId="8" fillId="5" borderId="11" xfId="0" applyNumberFormat="1" applyFont="1" applyFill="1" applyBorder="1" applyAlignment="1">
      <alignment horizontal="center" textRotation="90"/>
    </xf>
    <xf numFmtId="167" fontId="8" fillId="6" borderId="11" xfId="0" applyNumberFormat="1" applyFont="1" applyFill="1" applyBorder="1" applyAlignment="1">
      <alignment horizontal="center" textRotation="90"/>
    </xf>
    <xf numFmtId="0" fontId="0" fillId="7" borderId="0" xfId="0" applyFill="1"/>
    <xf numFmtId="168" fontId="9" fillId="8" borderId="14" xfId="0" applyNumberFormat="1" applyFont="1" applyFill="1" applyBorder="1" applyAlignment="1">
      <alignment horizontal="left" vertical="center" indent="1"/>
    </xf>
    <xf numFmtId="168" fontId="10" fillId="8" borderId="15" xfId="0" applyNumberFormat="1" applyFont="1" applyFill="1" applyBorder="1" applyAlignment="1">
      <alignment horizontal="left" vertical="center" indent="1"/>
    </xf>
    <xf numFmtId="0" fontId="11" fillId="3" borderId="11" xfId="0" applyFont="1" applyFill="1" applyBorder="1" applyAlignment="1">
      <alignment horizontal="left" vertical="top"/>
    </xf>
    <xf numFmtId="0" fontId="11" fillId="5" borderId="11" xfId="0" applyFont="1" applyFill="1" applyBorder="1" applyAlignment="1">
      <alignment horizontal="left" vertical="top"/>
    </xf>
    <xf numFmtId="0" fontId="11" fillId="6" borderId="11" xfId="0" applyFont="1" applyFill="1" applyBorder="1" applyAlignment="1">
      <alignment horizontal="left" vertical="top"/>
    </xf>
    <xf numFmtId="0" fontId="0" fillId="0" borderId="0" xfId="0" applyAlignment="1">
      <alignment vertical="center"/>
    </xf>
    <xf numFmtId="0" fontId="0" fillId="9" borderId="0" xfId="0" applyFill="1"/>
    <xf numFmtId="169" fontId="12" fillId="3" borderId="11" xfId="0" applyNumberFormat="1" applyFont="1" applyFill="1" applyBorder="1" applyAlignment="1">
      <alignment horizontal="left" vertical="top"/>
    </xf>
    <xf numFmtId="169" fontId="12" fillId="5" borderId="11" xfId="0" applyNumberFormat="1" applyFont="1" applyFill="1" applyBorder="1" applyAlignment="1">
      <alignment horizontal="left" vertical="top"/>
    </xf>
    <xf numFmtId="169" fontId="12" fillId="6" borderId="11" xfId="0" applyNumberFormat="1" applyFont="1" applyFill="1" applyBorder="1" applyAlignment="1">
      <alignment horizontal="left" vertical="top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13" fillId="0" borderId="0" xfId="0" applyFont="1"/>
    <xf numFmtId="165" fontId="0" fillId="0" borderId="5" xfId="2" applyFont="1" applyBorder="1" applyAlignment="1">
      <alignment horizontal="center"/>
    </xf>
    <xf numFmtId="0" fontId="16" fillId="0" borderId="5" xfId="0" applyFont="1" applyBorder="1"/>
  </cellXfs>
  <cellStyles count="4">
    <cellStyle name="Monétaire" xfId="1" builtinId="4"/>
    <cellStyle name="Normal" xfId="0" builtinId="0"/>
    <cellStyle name="Normal 2" xfId="3" xr:uid="{00000000-0005-0000-0000-000006000000}"/>
    <cellStyle name="Pourcentage" xfId="2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AFAFA"/>
      <rgbColor rgb="FFDEEBF7"/>
      <rgbColor rgb="FF660066"/>
      <rgbColor rgb="FFFF8080"/>
      <rgbColor rgb="FF0066CC"/>
      <rgbColor rgb="FFC8C8C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EEE8AA"/>
      <rgbColor rgb="FF9DC3E6"/>
      <rgbColor rgb="FFFF99CC"/>
      <rgbColor rgb="FFCC99FF"/>
      <rgbColor rgb="FFFFCC99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3366"/>
      <rgbColor rgb="FF339966"/>
      <rgbColor rgb="FF0D0D0D"/>
      <rgbColor rgb="FF262626"/>
      <rgbColor rgb="FF993300"/>
      <rgbColor rgb="FF993366"/>
      <rgbColor rgb="FF404040"/>
      <rgbColor rgb="FF353535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25560</xdr:colOff>
      <xdr:row>3</xdr:row>
      <xdr:rowOff>25560</xdr:rowOff>
    </xdr:from>
    <xdr:to>
      <xdr:col>13</xdr:col>
      <xdr:colOff>179640</xdr:colOff>
      <xdr:row>3</xdr:row>
      <xdr:rowOff>263520</xdr:rowOff>
    </xdr:to>
    <xdr:sp macro="" textlink="">
      <xdr:nvSpPr>
        <xdr:cNvPr id="2" name="CustomSha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757320" y="1221840"/>
          <a:ext cx="575640" cy="237960"/>
        </a:xfrm>
        <a:prstGeom prst="roundRect">
          <a:avLst>
            <a:gd name="adj" fmla="val 16667"/>
          </a:avLst>
        </a:prstGeom>
        <a:solidFill>
          <a:srgbClr val="92D05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1 Axel / Alan</a:t>
          </a:r>
          <a:endParaRPr lang="fr-FR" sz="900" b="0" strike="noStrike" spc="-1">
            <a:latin typeface="Times New Roman"/>
          </a:endParaRPr>
        </a:p>
      </xdr:txBody>
    </xdr:sp>
    <xdr:clientData/>
  </xdr:twoCellAnchor>
  <xdr:twoCellAnchor>
    <xdr:from>
      <xdr:col>11</xdr:col>
      <xdr:colOff>50760</xdr:colOff>
      <xdr:row>3</xdr:row>
      <xdr:rowOff>213480</xdr:rowOff>
    </xdr:from>
    <xdr:to>
      <xdr:col>12</xdr:col>
      <xdr:colOff>179640</xdr:colOff>
      <xdr:row>3</xdr:row>
      <xdr:rowOff>250920</xdr:rowOff>
    </xdr:to>
    <xdr:sp macro="" textlink="">
      <xdr:nvSpPr>
        <xdr:cNvPr id="3" name="CustomShap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2520" y="1409760"/>
          <a:ext cx="339480" cy="37440"/>
        </a:xfrm>
        <a:prstGeom prst="roundRect">
          <a:avLst>
            <a:gd name="adj" fmla="val 16667"/>
          </a:avLst>
        </a:prstGeom>
        <a:solidFill>
          <a:srgbClr val="0C780C">
            <a:alpha val="80000"/>
          </a:srgbClr>
        </a:solidFill>
        <a:ln w="0"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11</xdr:col>
      <xdr:colOff>25560</xdr:colOff>
      <xdr:row>4</xdr:row>
      <xdr:rowOff>25560</xdr:rowOff>
    </xdr:from>
    <xdr:to>
      <xdr:col>13</xdr:col>
      <xdr:colOff>179640</xdr:colOff>
      <xdr:row>4</xdr:row>
      <xdr:rowOff>263520</xdr:rowOff>
    </xdr:to>
    <xdr:sp macro="" textlink="">
      <xdr:nvSpPr>
        <xdr:cNvPr id="4" name="CustomShap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757320" y="1513080"/>
          <a:ext cx="575640" cy="237960"/>
        </a:xfrm>
        <a:prstGeom prst="roundRect">
          <a:avLst>
            <a:gd name="adj" fmla="val 16667"/>
          </a:avLst>
        </a:prstGeom>
        <a:solidFill>
          <a:srgbClr val="00B0F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2 Axel / Alan</a:t>
          </a:r>
          <a:endParaRPr lang="fr-FR" sz="900" b="0" strike="noStrike" spc="-1">
            <a:latin typeface="Times New Roman"/>
          </a:endParaRPr>
        </a:p>
      </xdr:txBody>
    </xdr:sp>
    <xdr:clientData/>
  </xdr:twoCellAnchor>
  <xdr:twoCellAnchor>
    <xdr:from>
      <xdr:col>11</xdr:col>
      <xdr:colOff>50760</xdr:colOff>
      <xdr:row>4</xdr:row>
      <xdr:rowOff>213480</xdr:rowOff>
    </xdr:from>
    <xdr:to>
      <xdr:col>12</xdr:col>
      <xdr:colOff>179640</xdr:colOff>
      <xdr:row>4</xdr:row>
      <xdr:rowOff>250920</xdr:rowOff>
    </xdr:to>
    <xdr:sp macro="" textlink="">
      <xdr:nvSpPr>
        <xdr:cNvPr id="5" name="CustomShape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82520" y="1701000"/>
          <a:ext cx="339480" cy="37440"/>
        </a:xfrm>
        <a:prstGeom prst="roundRect">
          <a:avLst>
            <a:gd name="adj" fmla="val 16667"/>
          </a:avLst>
        </a:prstGeom>
        <a:solidFill>
          <a:srgbClr val="0C780C">
            <a:alpha val="80000"/>
          </a:srgbClr>
        </a:solidFill>
        <a:ln w="0"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13</xdr:col>
      <xdr:colOff>25560</xdr:colOff>
      <xdr:row>5</xdr:row>
      <xdr:rowOff>25560</xdr:rowOff>
    </xdr:from>
    <xdr:to>
      <xdr:col>16</xdr:col>
      <xdr:colOff>179640</xdr:colOff>
      <xdr:row>5</xdr:row>
      <xdr:rowOff>263520</xdr:rowOff>
    </xdr:to>
    <xdr:sp macro="" textlink="">
      <xdr:nvSpPr>
        <xdr:cNvPr id="6" name="CustomShape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178880" y="1804680"/>
          <a:ext cx="786600" cy="237960"/>
        </a:xfrm>
        <a:prstGeom prst="roundRect">
          <a:avLst>
            <a:gd name="adj" fmla="val 16667"/>
          </a:avLst>
        </a:prstGeom>
        <a:solidFill>
          <a:srgbClr val="FFC00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3 Axel / Alan</a:t>
          </a:r>
          <a:endParaRPr lang="fr-FR" sz="9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50760</xdr:colOff>
      <xdr:row>5</xdr:row>
      <xdr:rowOff>213480</xdr:rowOff>
    </xdr:from>
    <xdr:to>
      <xdr:col>13</xdr:col>
      <xdr:colOff>179640</xdr:colOff>
      <xdr:row>5</xdr:row>
      <xdr:rowOff>250920</xdr:rowOff>
    </xdr:to>
    <xdr:sp macro="" textlink="">
      <xdr:nvSpPr>
        <xdr:cNvPr id="7" name="CustomShape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04080" y="1992600"/>
          <a:ext cx="128880" cy="37440"/>
        </a:xfrm>
        <a:prstGeom prst="roundRect">
          <a:avLst>
            <a:gd name="adj" fmla="val 16667"/>
          </a:avLst>
        </a:prstGeom>
        <a:solidFill>
          <a:srgbClr val="0C780C">
            <a:alpha val="80000"/>
          </a:srgbClr>
        </a:solidFill>
        <a:ln w="0"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>
    <xdr:from>
      <xdr:col>14</xdr:col>
      <xdr:colOff>25560</xdr:colOff>
      <xdr:row>6</xdr:row>
      <xdr:rowOff>25560</xdr:rowOff>
    </xdr:from>
    <xdr:to>
      <xdr:col>14</xdr:col>
      <xdr:colOff>179640</xdr:colOff>
      <xdr:row>6</xdr:row>
      <xdr:rowOff>263520</xdr:rowOff>
    </xdr:to>
    <xdr:sp macro="" textlink="">
      <xdr:nvSpPr>
        <xdr:cNvPr id="8" name="CustomShap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389840" y="2096280"/>
          <a:ext cx="154080" cy="237960"/>
        </a:xfrm>
        <a:prstGeom prst="roundRect">
          <a:avLst>
            <a:gd name="adj" fmla="val 16667"/>
          </a:avLst>
        </a:prstGeom>
        <a:solidFill>
          <a:srgbClr val="92D05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5 Axel</a:t>
          </a:r>
          <a:endParaRPr lang="fr-FR" sz="900" b="0" strike="noStrike" spc="-1">
            <a:latin typeface="Times New Roman"/>
          </a:endParaRPr>
        </a:p>
      </xdr:txBody>
    </xdr:sp>
    <xdr:clientData/>
  </xdr:twoCellAnchor>
  <xdr:twoCellAnchor>
    <xdr:from>
      <xdr:col>14</xdr:col>
      <xdr:colOff>25560</xdr:colOff>
      <xdr:row>7</xdr:row>
      <xdr:rowOff>25560</xdr:rowOff>
    </xdr:from>
    <xdr:to>
      <xdr:col>14</xdr:col>
      <xdr:colOff>179640</xdr:colOff>
      <xdr:row>7</xdr:row>
      <xdr:rowOff>263520</xdr:rowOff>
    </xdr:to>
    <xdr:sp macro="" textlink="">
      <xdr:nvSpPr>
        <xdr:cNvPr id="9" name="CustomShape 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389840" y="2387520"/>
          <a:ext cx="154080" cy="237960"/>
        </a:xfrm>
        <a:prstGeom prst="roundRect">
          <a:avLst>
            <a:gd name="adj" fmla="val 16667"/>
          </a:avLst>
        </a:prstGeom>
        <a:solidFill>
          <a:srgbClr val="7030A0">
            <a:alpha val="70000"/>
          </a:srgbClr>
        </a:solidFill>
        <a:ln w="0"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tIns="45000" rIns="90000" bIns="45000" anchorCtr="1">
          <a:noAutofit/>
        </a:bodyPr>
        <a:lstStyle/>
        <a:p>
          <a:pPr>
            <a:lnSpc>
              <a:spcPct val="100000"/>
            </a:lnSpc>
          </a:pPr>
          <a:r>
            <a:rPr lang="fr-FR" sz="900" b="0" strike="noStrike" spc="-1">
              <a:solidFill>
                <a:srgbClr val="353535"/>
              </a:solidFill>
              <a:latin typeface="Calibri"/>
            </a:rPr>
            <a:t>3 Axel</a:t>
          </a:r>
          <a:endParaRPr lang="fr-FR" sz="9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AH71"/>
  <sheetViews>
    <sheetView showGridLines="0" tabSelected="1" zoomScaleNormal="100" workbookViewId="0">
      <selection activeCell="A8" sqref="A8:XFD8"/>
    </sheetView>
  </sheetViews>
  <sheetFormatPr baseColWidth="10" defaultColWidth="10.6640625" defaultRowHeight="14.4" x14ac:dyDescent="0.3"/>
  <cols>
    <col min="1" max="1" width="6.5546875" customWidth="1"/>
    <col min="2" max="2" width="20.88671875" style="2" customWidth="1"/>
    <col min="3" max="3" width="31.33203125" customWidth="1"/>
    <col min="4" max="4" width="11.6640625" customWidth="1"/>
    <col min="5" max="5" width="11.6640625" style="3" customWidth="1"/>
    <col min="6" max="6" width="11.6640625" customWidth="1"/>
    <col min="7" max="7" width="11.6640625" style="3" customWidth="1"/>
    <col min="8" max="8" width="12.44140625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6" t="s">
        <v>7</v>
      </c>
      <c r="I1" s="7"/>
      <c r="J1" s="7"/>
      <c r="AA1" s="8"/>
    </row>
    <row r="2" spans="1:34" x14ac:dyDescent="0.3">
      <c r="A2" s="9">
        <v>1</v>
      </c>
      <c r="B2" s="10" t="s">
        <v>8</v>
      </c>
      <c r="C2" s="10" t="s">
        <v>9</v>
      </c>
      <c r="D2" s="11">
        <v>44174</v>
      </c>
      <c r="E2" s="12">
        <v>1</v>
      </c>
      <c r="F2" s="13">
        <f>WORKDAY(D2,E2-1,TFERIES(YEAR(D2)))</f>
        <v>44174</v>
      </c>
      <c r="G2" s="14">
        <v>1</v>
      </c>
      <c r="H2" s="15">
        <f>IF(G2&gt;0,WORKDAY(D2,(E2*G2)-1,TFERIES(YEAR(D2))),"")</f>
        <v>44174</v>
      </c>
      <c r="AB2" s="8"/>
      <c r="AC2" s="8"/>
      <c r="AD2" s="8"/>
      <c r="AE2" s="8"/>
      <c r="AF2" s="8"/>
    </row>
    <row r="3" spans="1:34" x14ac:dyDescent="0.3">
      <c r="A3" s="9">
        <v>2</v>
      </c>
      <c r="B3" s="18" t="s">
        <v>20</v>
      </c>
      <c r="C3" s="53" t="s">
        <v>10</v>
      </c>
      <c r="D3" s="11">
        <v>44174</v>
      </c>
      <c r="E3" s="12">
        <v>3</v>
      </c>
      <c r="F3" s="13">
        <f t="shared" ref="F3:F4" si="0">WORKDAY(D3,E3-1,TFERIES(YEAR(D3)))</f>
        <v>44176</v>
      </c>
      <c r="G3" s="52">
        <v>0.9</v>
      </c>
      <c r="H3" s="15">
        <f t="shared" ref="H3:H5" si="1">IF(G3&gt;0,WORKDAY(D3,(E3*G3)-1,TFERIES(YEAR(D3))),"")</f>
        <v>44175</v>
      </c>
      <c r="AB3" s="8"/>
      <c r="AC3" s="8"/>
      <c r="AD3" s="8"/>
      <c r="AE3" s="8"/>
      <c r="AF3" s="8"/>
    </row>
    <row r="4" spans="1:34" x14ac:dyDescent="0.3">
      <c r="A4" s="9">
        <v>3</v>
      </c>
      <c r="B4" s="18" t="s">
        <v>21</v>
      </c>
      <c r="C4" s="53" t="s">
        <v>10</v>
      </c>
      <c r="D4" s="11">
        <v>44176</v>
      </c>
      <c r="E4" s="12">
        <v>4</v>
      </c>
      <c r="F4" s="13">
        <f t="shared" si="0"/>
        <v>44181</v>
      </c>
      <c r="G4" s="52">
        <v>0.8</v>
      </c>
      <c r="H4" s="15">
        <f t="shared" si="1"/>
        <v>44180</v>
      </c>
      <c r="AB4" s="8"/>
      <c r="AC4" s="8"/>
      <c r="AD4" s="8"/>
      <c r="AE4" s="8"/>
      <c r="AF4" s="8"/>
    </row>
    <row r="5" spans="1:34" x14ac:dyDescent="0.3">
      <c r="A5" s="9">
        <v>3</v>
      </c>
      <c r="B5" s="18" t="s">
        <v>11</v>
      </c>
      <c r="C5" s="53" t="s">
        <v>10</v>
      </c>
      <c r="D5" s="11">
        <v>44177</v>
      </c>
      <c r="E5" s="12">
        <v>6</v>
      </c>
      <c r="F5" s="13">
        <f>WORKDAY(D5,E5-1,TFERIES(YEAR(D5)))</f>
        <v>44183</v>
      </c>
      <c r="G5" s="52">
        <v>0.9</v>
      </c>
      <c r="H5" s="15">
        <f t="shared" si="1"/>
        <v>44182</v>
      </c>
      <c r="AB5" s="8"/>
      <c r="AC5" s="8"/>
      <c r="AD5" s="8"/>
      <c r="AE5" s="8"/>
      <c r="AF5" s="8"/>
      <c r="AH5" s="8"/>
    </row>
    <row r="6" spans="1:34" x14ac:dyDescent="0.3">
      <c r="A6" s="9">
        <v>5</v>
      </c>
      <c r="B6" s="18" t="s">
        <v>12</v>
      </c>
      <c r="C6" s="53" t="s">
        <v>10</v>
      </c>
      <c r="D6" s="11">
        <v>44177</v>
      </c>
      <c r="E6" s="12">
        <v>6</v>
      </c>
      <c r="F6" s="13">
        <f>WORKDAY(D6,E6-1,TFERIES(YEAR(D6)))</f>
        <v>44183</v>
      </c>
      <c r="G6" s="52">
        <v>0.8</v>
      </c>
      <c r="H6" s="15">
        <f>IF(G6&gt;0,WORKDAY(D6,(E6*G6)-1,TFERIES(YEAR(D6))),"")</f>
        <v>44181</v>
      </c>
      <c r="AB6" s="8"/>
      <c r="AC6" s="8"/>
      <c r="AD6" s="8"/>
      <c r="AE6" s="8"/>
      <c r="AF6" s="8"/>
      <c r="AH6" s="8"/>
    </row>
    <row r="7" spans="1:34" x14ac:dyDescent="0.3">
      <c r="A7" s="16">
        <v>7</v>
      </c>
      <c r="B7" s="10" t="s">
        <v>22</v>
      </c>
      <c r="C7" s="10" t="s">
        <v>9</v>
      </c>
      <c r="D7" s="11">
        <v>44179</v>
      </c>
      <c r="E7" s="12">
        <v>3</v>
      </c>
      <c r="F7" s="13">
        <v>44181</v>
      </c>
      <c r="G7" s="14">
        <v>0.7</v>
      </c>
      <c r="H7" s="15">
        <f t="shared" ref="H7:H9" si="2">IF(G7&gt;0,WORKDAY(D7,(E7*G7)-1,TFERIES(YEAR(D7))),"")</f>
        <v>44180</v>
      </c>
      <c r="AB7" s="8"/>
      <c r="AC7" s="8"/>
      <c r="AD7" s="8"/>
      <c r="AE7" s="8"/>
      <c r="AF7" s="8"/>
      <c r="AH7" s="8"/>
    </row>
    <row r="8" spans="1:34" x14ac:dyDescent="0.3">
      <c r="A8" s="9">
        <v>8</v>
      </c>
      <c r="B8" s="10" t="s">
        <v>23</v>
      </c>
      <c r="C8" s="10" t="s">
        <v>10</v>
      </c>
      <c r="D8" s="11">
        <v>44182</v>
      </c>
      <c r="E8" s="12">
        <v>2</v>
      </c>
      <c r="F8" s="13">
        <v>44183</v>
      </c>
      <c r="G8" s="14">
        <v>1</v>
      </c>
      <c r="H8" s="15">
        <f t="shared" si="2"/>
        <v>44183</v>
      </c>
      <c r="AB8" s="8"/>
      <c r="AC8" s="8"/>
      <c r="AD8" s="8"/>
      <c r="AE8" s="8"/>
      <c r="AF8" s="8"/>
      <c r="AH8" s="8"/>
    </row>
    <row r="9" spans="1:34" x14ac:dyDescent="0.3">
      <c r="A9" s="9">
        <v>9</v>
      </c>
      <c r="B9" s="10"/>
      <c r="C9" s="10"/>
      <c r="D9" s="11"/>
      <c r="E9" s="12"/>
      <c r="F9" s="13"/>
      <c r="G9" s="14"/>
      <c r="H9" s="15" t="str">
        <f t="shared" si="2"/>
        <v/>
      </c>
      <c r="AB9" s="8"/>
      <c r="AC9" s="8"/>
      <c r="AD9" s="8"/>
      <c r="AE9" s="8"/>
      <c r="AF9" s="8"/>
    </row>
    <row r="10" spans="1:34" x14ac:dyDescent="0.3">
      <c r="A10" s="9">
        <f t="shared" ref="A10:A41" si="3">A9+1</f>
        <v>10</v>
      </c>
      <c r="B10" s="17"/>
      <c r="C10" s="18"/>
      <c r="D10" s="18"/>
      <c r="E10" s="12"/>
      <c r="F10" s="18"/>
      <c r="G10" s="12"/>
      <c r="H10" s="19"/>
      <c r="AB10" s="8"/>
      <c r="AC10" s="8"/>
      <c r="AD10" s="8"/>
      <c r="AE10" s="8"/>
      <c r="AF10" s="8"/>
    </row>
    <row r="11" spans="1:34" x14ac:dyDescent="0.3">
      <c r="A11" s="9">
        <f t="shared" si="3"/>
        <v>11</v>
      </c>
      <c r="B11" s="17"/>
      <c r="C11" s="18"/>
      <c r="D11" s="18"/>
      <c r="E11" s="12"/>
      <c r="F11" s="18"/>
      <c r="G11" s="12"/>
      <c r="H11" s="19"/>
      <c r="AB11" s="8"/>
      <c r="AC11" s="8"/>
      <c r="AD11" s="8"/>
      <c r="AE11" s="8"/>
      <c r="AF11" s="8"/>
    </row>
    <row r="12" spans="1:34" x14ac:dyDescent="0.3">
      <c r="A12" s="9">
        <f t="shared" si="3"/>
        <v>12</v>
      </c>
      <c r="B12" s="17"/>
      <c r="C12" s="18"/>
      <c r="D12" s="18"/>
      <c r="E12" s="12"/>
      <c r="F12" s="18"/>
      <c r="G12" s="12"/>
      <c r="H12" s="19"/>
      <c r="AB12" s="8"/>
      <c r="AC12" s="8"/>
      <c r="AD12" s="8"/>
      <c r="AE12" s="8"/>
      <c r="AF12" s="8"/>
    </row>
    <row r="13" spans="1:34" x14ac:dyDescent="0.3">
      <c r="A13" s="9">
        <f t="shared" si="3"/>
        <v>13</v>
      </c>
      <c r="B13" s="17"/>
      <c r="C13" s="18"/>
      <c r="D13" s="18"/>
      <c r="E13" s="12"/>
      <c r="F13" s="18"/>
      <c r="G13" s="12"/>
      <c r="H13" s="19"/>
      <c r="AB13" s="8"/>
      <c r="AC13" s="8"/>
      <c r="AD13" s="8"/>
      <c r="AE13" s="8"/>
      <c r="AF13" s="8"/>
    </row>
    <row r="14" spans="1:34" x14ac:dyDescent="0.3">
      <c r="A14" s="9">
        <f t="shared" si="3"/>
        <v>14</v>
      </c>
      <c r="B14" s="17"/>
      <c r="C14" s="18"/>
      <c r="D14" s="18"/>
      <c r="E14" s="12"/>
      <c r="F14" s="18"/>
      <c r="G14" s="12"/>
      <c r="H14" s="19"/>
    </row>
    <row r="15" spans="1:34" x14ac:dyDescent="0.3">
      <c r="A15" s="9">
        <f t="shared" si="3"/>
        <v>15</v>
      </c>
      <c r="B15" s="17"/>
      <c r="C15" s="18"/>
      <c r="D15" s="17"/>
      <c r="E15" s="17"/>
      <c r="F15" s="17"/>
      <c r="G15" s="17"/>
      <c r="H15" s="19"/>
    </row>
    <row r="16" spans="1:34" x14ac:dyDescent="0.3">
      <c r="A16" s="9">
        <f t="shared" si="3"/>
        <v>16</v>
      </c>
      <c r="B16" s="17"/>
      <c r="C16" s="18"/>
      <c r="D16" s="18"/>
      <c r="E16" s="12"/>
      <c r="F16" s="18"/>
      <c r="G16" s="12"/>
      <c r="H16" s="19"/>
      <c r="AB16" s="8"/>
      <c r="AC16" s="8"/>
      <c r="AD16" s="8"/>
      <c r="AE16" s="8"/>
      <c r="AF16" s="8"/>
    </row>
    <row r="17" spans="1:32" x14ac:dyDescent="0.3">
      <c r="A17" s="9">
        <f t="shared" si="3"/>
        <v>17</v>
      </c>
      <c r="B17" s="17"/>
      <c r="C17" s="18"/>
      <c r="D17" s="18"/>
      <c r="E17" s="12"/>
      <c r="F17" s="18"/>
      <c r="G17" s="12"/>
      <c r="H17" s="19"/>
      <c r="AB17" s="8"/>
      <c r="AC17" s="8"/>
      <c r="AD17" s="8"/>
      <c r="AE17" s="8"/>
      <c r="AF17" s="8"/>
    </row>
    <row r="18" spans="1:32" x14ac:dyDescent="0.3">
      <c r="A18" s="9">
        <f t="shared" si="3"/>
        <v>18</v>
      </c>
      <c r="B18" s="17"/>
      <c r="C18" s="18"/>
      <c r="D18" s="18"/>
      <c r="E18" s="12"/>
      <c r="F18" s="18"/>
      <c r="G18" s="12"/>
      <c r="H18" s="19"/>
    </row>
    <row r="19" spans="1:32" x14ac:dyDescent="0.3">
      <c r="A19" s="9">
        <f t="shared" si="3"/>
        <v>19</v>
      </c>
      <c r="B19" s="17"/>
      <c r="C19" s="18"/>
      <c r="D19" s="18"/>
      <c r="E19" s="12"/>
      <c r="F19" s="18"/>
      <c r="G19" s="12"/>
      <c r="H19" s="19"/>
    </row>
    <row r="20" spans="1:32" x14ac:dyDescent="0.3">
      <c r="A20" s="9">
        <f t="shared" si="3"/>
        <v>20</v>
      </c>
      <c r="B20" s="17"/>
      <c r="C20" s="18"/>
      <c r="D20" s="18"/>
      <c r="E20" s="12"/>
      <c r="F20" s="18"/>
      <c r="G20" s="12"/>
      <c r="H20" s="19"/>
    </row>
    <row r="21" spans="1:32" x14ac:dyDescent="0.3">
      <c r="A21" s="9">
        <f t="shared" si="3"/>
        <v>21</v>
      </c>
      <c r="B21" s="17"/>
      <c r="C21" s="18"/>
      <c r="D21" s="18"/>
      <c r="E21" s="12"/>
      <c r="F21" s="18"/>
      <c r="G21" s="12"/>
      <c r="H21" s="19"/>
    </row>
    <row r="22" spans="1:32" x14ac:dyDescent="0.3">
      <c r="A22" s="9">
        <f t="shared" si="3"/>
        <v>22</v>
      </c>
      <c r="B22" s="17"/>
      <c r="C22" s="18"/>
      <c r="D22" s="18"/>
      <c r="E22" s="12"/>
      <c r="F22" s="18"/>
      <c r="G22" s="12"/>
      <c r="H22" s="19"/>
    </row>
    <row r="23" spans="1:32" x14ac:dyDescent="0.3">
      <c r="A23" s="9">
        <f t="shared" si="3"/>
        <v>23</v>
      </c>
      <c r="B23" s="17"/>
      <c r="C23" s="18"/>
      <c r="D23" s="18"/>
      <c r="E23" s="12"/>
      <c r="F23" s="18"/>
      <c r="G23" s="12"/>
      <c r="H23" s="19"/>
    </row>
    <row r="24" spans="1:32" x14ac:dyDescent="0.3">
      <c r="A24" s="9">
        <f t="shared" si="3"/>
        <v>24</v>
      </c>
      <c r="B24" s="17"/>
      <c r="C24" s="18"/>
      <c r="D24" s="18"/>
      <c r="E24" s="12"/>
      <c r="F24" s="18"/>
      <c r="G24" s="12"/>
      <c r="H24" s="19"/>
    </row>
    <row r="25" spans="1:32" x14ac:dyDescent="0.3">
      <c r="A25" s="9">
        <f t="shared" si="3"/>
        <v>25</v>
      </c>
      <c r="B25" s="17"/>
      <c r="C25" s="18"/>
      <c r="D25" s="18"/>
      <c r="E25" s="12"/>
      <c r="F25" s="18"/>
      <c r="G25" s="12"/>
      <c r="H25" s="19"/>
    </row>
    <row r="26" spans="1:32" x14ac:dyDescent="0.3">
      <c r="A26" s="9">
        <f t="shared" si="3"/>
        <v>26</v>
      </c>
      <c r="B26" s="17"/>
      <c r="C26" s="18"/>
      <c r="D26" s="18"/>
      <c r="E26" s="12"/>
      <c r="F26" s="18"/>
      <c r="G26" s="12"/>
      <c r="H26" s="19"/>
    </row>
    <row r="27" spans="1:32" x14ac:dyDescent="0.3">
      <c r="A27" s="9">
        <f t="shared" si="3"/>
        <v>27</v>
      </c>
      <c r="B27" s="17"/>
      <c r="C27" s="18"/>
      <c r="D27" s="18"/>
      <c r="E27" s="12"/>
      <c r="F27" s="18"/>
      <c r="G27" s="12"/>
      <c r="H27" s="19"/>
    </row>
    <row r="28" spans="1:32" x14ac:dyDescent="0.3">
      <c r="A28" s="9">
        <f t="shared" si="3"/>
        <v>28</v>
      </c>
      <c r="B28" s="17"/>
      <c r="C28" s="18"/>
      <c r="D28" s="18"/>
      <c r="E28" s="12"/>
      <c r="F28" s="18"/>
      <c r="G28" s="12"/>
      <c r="H28" s="19"/>
    </row>
    <row r="29" spans="1:32" x14ac:dyDescent="0.3">
      <c r="A29" s="9">
        <f t="shared" si="3"/>
        <v>29</v>
      </c>
      <c r="B29" s="17"/>
      <c r="C29" s="18"/>
      <c r="D29" s="18"/>
      <c r="E29" s="12"/>
      <c r="F29" s="18"/>
      <c r="G29" s="12"/>
      <c r="H29" s="19"/>
    </row>
    <row r="30" spans="1:32" x14ac:dyDescent="0.3">
      <c r="A30" s="9">
        <f t="shared" si="3"/>
        <v>30</v>
      </c>
      <c r="B30" s="17"/>
      <c r="C30" s="18"/>
      <c r="D30" s="18"/>
      <c r="E30" s="12"/>
      <c r="F30" s="18"/>
      <c r="G30" s="12"/>
      <c r="H30" s="19"/>
    </row>
    <row r="31" spans="1:32" x14ac:dyDescent="0.3">
      <c r="A31" s="9">
        <f t="shared" si="3"/>
        <v>31</v>
      </c>
      <c r="B31" s="17"/>
      <c r="C31" s="18"/>
      <c r="D31" s="18"/>
      <c r="E31" s="12"/>
      <c r="F31" s="18"/>
      <c r="G31" s="12"/>
      <c r="H31" s="19"/>
    </row>
    <row r="32" spans="1:32" x14ac:dyDescent="0.3">
      <c r="A32" s="9">
        <f t="shared" si="3"/>
        <v>32</v>
      </c>
      <c r="B32" s="17"/>
      <c r="C32" s="18"/>
      <c r="D32" s="18"/>
      <c r="E32" s="12"/>
      <c r="F32" s="18"/>
      <c r="G32" s="12"/>
      <c r="H32" s="19"/>
    </row>
    <row r="33" spans="1:8" x14ac:dyDescent="0.3">
      <c r="A33" s="9">
        <f t="shared" si="3"/>
        <v>33</v>
      </c>
      <c r="B33" s="17"/>
      <c r="C33" s="18"/>
      <c r="D33" s="18"/>
      <c r="E33" s="12"/>
      <c r="F33" s="18"/>
      <c r="G33" s="12"/>
      <c r="H33" s="19"/>
    </row>
    <row r="34" spans="1:8" x14ac:dyDescent="0.3">
      <c r="A34" s="9">
        <f t="shared" si="3"/>
        <v>34</v>
      </c>
      <c r="B34" s="17"/>
      <c r="C34" s="18"/>
      <c r="D34" s="18"/>
      <c r="E34" s="12"/>
      <c r="F34" s="18"/>
      <c r="G34" s="12"/>
      <c r="H34" s="19"/>
    </row>
    <row r="35" spans="1:8" x14ac:dyDescent="0.3">
      <c r="A35" s="9">
        <f t="shared" si="3"/>
        <v>35</v>
      </c>
      <c r="B35" s="17"/>
      <c r="C35" s="18"/>
      <c r="D35" s="18"/>
      <c r="E35" s="12"/>
      <c r="F35" s="18"/>
      <c r="G35" s="12"/>
      <c r="H35" s="19"/>
    </row>
    <row r="36" spans="1:8" x14ac:dyDescent="0.3">
      <c r="A36" s="9">
        <f t="shared" si="3"/>
        <v>36</v>
      </c>
      <c r="B36" s="17"/>
      <c r="C36" s="18"/>
      <c r="D36" s="18"/>
      <c r="E36" s="12"/>
      <c r="F36" s="18"/>
      <c r="G36" s="12"/>
      <c r="H36" s="19"/>
    </row>
    <row r="37" spans="1:8" x14ac:dyDescent="0.3">
      <c r="A37" s="9">
        <f t="shared" si="3"/>
        <v>37</v>
      </c>
      <c r="B37" s="17"/>
      <c r="C37" s="18"/>
      <c r="D37" s="18"/>
      <c r="E37" s="12"/>
      <c r="F37" s="18"/>
      <c r="G37" s="12"/>
      <c r="H37" s="19"/>
    </row>
    <row r="38" spans="1:8" x14ac:dyDescent="0.3">
      <c r="A38" s="9">
        <f t="shared" si="3"/>
        <v>38</v>
      </c>
      <c r="B38" s="17"/>
      <c r="C38" s="18"/>
      <c r="D38" s="18"/>
      <c r="E38" s="12"/>
      <c r="F38" s="18"/>
      <c r="G38" s="12"/>
      <c r="H38" s="19"/>
    </row>
    <row r="39" spans="1:8" x14ac:dyDescent="0.3">
      <c r="A39" s="9">
        <f t="shared" si="3"/>
        <v>39</v>
      </c>
      <c r="B39" s="17"/>
      <c r="C39" s="18"/>
      <c r="D39" s="18"/>
      <c r="E39" s="12"/>
      <c r="F39" s="18"/>
      <c r="G39" s="12"/>
      <c r="H39" s="19"/>
    </row>
    <row r="40" spans="1:8" x14ac:dyDescent="0.3">
      <c r="A40" s="9">
        <f t="shared" si="3"/>
        <v>40</v>
      </c>
      <c r="B40" s="17"/>
      <c r="C40" s="18"/>
      <c r="D40" s="18"/>
      <c r="E40" s="12"/>
      <c r="F40" s="18"/>
      <c r="G40" s="12"/>
      <c r="H40" s="19"/>
    </row>
    <row r="41" spans="1:8" x14ac:dyDescent="0.3">
      <c r="A41" s="9">
        <f t="shared" si="3"/>
        <v>41</v>
      </c>
      <c r="B41" s="17"/>
      <c r="C41" s="18"/>
      <c r="D41" s="18"/>
      <c r="E41" s="12"/>
      <c r="F41" s="18"/>
      <c r="G41" s="12"/>
      <c r="H41" s="19"/>
    </row>
    <row r="42" spans="1:8" x14ac:dyDescent="0.3">
      <c r="A42" s="9">
        <f t="shared" ref="A42:A71" si="4">A41+1</f>
        <v>42</v>
      </c>
      <c r="B42" s="17"/>
      <c r="C42" s="18"/>
      <c r="D42" s="18"/>
      <c r="E42" s="12"/>
      <c r="F42" s="18"/>
      <c r="G42" s="12"/>
      <c r="H42" s="19"/>
    </row>
    <row r="43" spans="1:8" x14ac:dyDescent="0.3">
      <c r="A43" s="9">
        <f t="shared" si="4"/>
        <v>43</v>
      </c>
      <c r="B43" s="17"/>
      <c r="C43" s="18"/>
      <c r="D43" s="18"/>
      <c r="E43" s="12"/>
      <c r="F43" s="18"/>
      <c r="G43" s="12"/>
      <c r="H43" s="19"/>
    </row>
    <row r="44" spans="1:8" x14ac:dyDescent="0.3">
      <c r="A44" s="9">
        <f t="shared" si="4"/>
        <v>44</v>
      </c>
      <c r="B44" s="17"/>
      <c r="C44" s="18"/>
      <c r="D44" s="18"/>
      <c r="E44" s="12"/>
      <c r="F44" s="18"/>
      <c r="G44" s="12"/>
      <c r="H44" s="19"/>
    </row>
    <row r="45" spans="1:8" x14ac:dyDescent="0.3">
      <c r="A45" s="9">
        <f t="shared" si="4"/>
        <v>45</v>
      </c>
      <c r="B45" s="17"/>
      <c r="C45" s="18"/>
      <c r="D45" s="18"/>
      <c r="E45" s="12"/>
      <c r="F45" s="18"/>
      <c r="G45" s="12"/>
      <c r="H45" s="19"/>
    </row>
    <row r="46" spans="1:8" x14ac:dyDescent="0.3">
      <c r="A46" s="9">
        <f t="shared" si="4"/>
        <v>46</v>
      </c>
      <c r="B46" s="17"/>
      <c r="C46" s="18"/>
      <c r="D46" s="18"/>
      <c r="E46" s="12"/>
      <c r="F46" s="18"/>
      <c r="G46" s="12"/>
      <c r="H46" s="19"/>
    </row>
    <row r="47" spans="1:8" x14ac:dyDescent="0.3">
      <c r="A47" s="9">
        <f t="shared" si="4"/>
        <v>47</v>
      </c>
      <c r="B47" s="17"/>
      <c r="C47" s="18"/>
      <c r="D47" s="18"/>
      <c r="E47" s="12"/>
      <c r="F47" s="18"/>
      <c r="G47" s="12"/>
      <c r="H47" s="19"/>
    </row>
    <row r="48" spans="1:8" x14ac:dyDescent="0.3">
      <c r="A48" s="9">
        <f t="shared" si="4"/>
        <v>48</v>
      </c>
      <c r="B48" s="17"/>
      <c r="C48" s="18"/>
      <c r="D48" s="18"/>
      <c r="E48" s="12"/>
      <c r="F48" s="18"/>
      <c r="G48" s="12"/>
      <c r="H48" s="19"/>
    </row>
    <row r="49" spans="1:8" x14ac:dyDescent="0.3">
      <c r="A49" s="9">
        <f t="shared" si="4"/>
        <v>49</v>
      </c>
      <c r="B49" s="17"/>
      <c r="C49" s="18"/>
      <c r="D49" s="18"/>
      <c r="E49" s="12"/>
      <c r="F49" s="18"/>
      <c r="G49" s="12"/>
      <c r="H49" s="19"/>
    </row>
    <row r="50" spans="1:8" x14ac:dyDescent="0.3">
      <c r="A50" s="9">
        <f t="shared" si="4"/>
        <v>50</v>
      </c>
      <c r="B50" s="17"/>
      <c r="C50" s="18"/>
      <c r="D50" s="18"/>
      <c r="E50" s="12"/>
      <c r="F50" s="18"/>
      <c r="G50" s="12"/>
      <c r="H50" s="19"/>
    </row>
    <row r="51" spans="1:8" x14ac:dyDescent="0.3">
      <c r="A51" s="9">
        <f t="shared" si="4"/>
        <v>51</v>
      </c>
      <c r="B51" s="17"/>
      <c r="C51" s="18"/>
      <c r="D51" s="18"/>
      <c r="E51" s="12"/>
      <c r="F51" s="18"/>
      <c r="G51" s="12"/>
      <c r="H51" s="19"/>
    </row>
    <row r="52" spans="1:8" x14ac:dyDescent="0.3">
      <c r="A52" s="9">
        <f t="shared" si="4"/>
        <v>52</v>
      </c>
      <c r="B52" s="17"/>
      <c r="C52" s="18"/>
      <c r="D52" s="18"/>
      <c r="E52" s="12"/>
      <c r="F52" s="18"/>
      <c r="G52" s="12"/>
      <c r="H52" s="19"/>
    </row>
    <row r="53" spans="1:8" x14ac:dyDescent="0.3">
      <c r="A53" s="9">
        <f t="shared" si="4"/>
        <v>53</v>
      </c>
      <c r="B53" s="17"/>
      <c r="C53" s="18"/>
      <c r="D53" s="18"/>
      <c r="E53" s="12"/>
      <c r="F53" s="18"/>
      <c r="G53" s="12"/>
      <c r="H53" s="19"/>
    </row>
    <row r="54" spans="1:8" x14ac:dyDescent="0.3">
      <c r="A54" s="9">
        <f t="shared" si="4"/>
        <v>54</v>
      </c>
      <c r="B54" s="17"/>
      <c r="C54" s="18"/>
      <c r="D54" s="18"/>
      <c r="E54" s="12"/>
      <c r="F54" s="18"/>
      <c r="G54" s="12"/>
      <c r="H54" s="19"/>
    </row>
    <row r="55" spans="1:8" x14ac:dyDescent="0.3">
      <c r="A55" s="9">
        <f t="shared" si="4"/>
        <v>55</v>
      </c>
      <c r="B55" s="17"/>
      <c r="C55" s="18"/>
      <c r="D55" s="18"/>
      <c r="E55" s="12"/>
      <c r="F55" s="18"/>
      <c r="G55" s="12"/>
      <c r="H55" s="19"/>
    </row>
    <row r="56" spans="1:8" x14ac:dyDescent="0.3">
      <c r="A56" s="9">
        <f t="shared" si="4"/>
        <v>56</v>
      </c>
      <c r="B56" s="17"/>
      <c r="C56" s="18"/>
      <c r="D56" s="18"/>
      <c r="E56" s="12"/>
      <c r="F56" s="18"/>
      <c r="G56" s="12"/>
      <c r="H56" s="19"/>
    </row>
    <row r="57" spans="1:8" x14ac:dyDescent="0.3">
      <c r="A57" s="9">
        <f t="shared" si="4"/>
        <v>57</v>
      </c>
      <c r="B57" s="17"/>
      <c r="C57" s="18"/>
      <c r="D57" s="18"/>
      <c r="E57" s="12"/>
      <c r="F57" s="18"/>
      <c r="G57" s="12"/>
      <c r="H57" s="19"/>
    </row>
    <row r="58" spans="1:8" x14ac:dyDescent="0.3">
      <c r="A58" s="9">
        <f t="shared" si="4"/>
        <v>58</v>
      </c>
      <c r="B58" s="17"/>
      <c r="C58" s="18"/>
      <c r="D58" s="18"/>
      <c r="E58" s="12"/>
      <c r="F58" s="18"/>
      <c r="G58" s="12"/>
      <c r="H58" s="19"/>
    </row>
    <row r="59" spans="1:8" x14ac:dyDescent="0.3">
      <c r="A59" s="9">
        <f t="shared" si="4"/>
        <v>59</v>
      </c>
      <c r="B59" s="17"/>
      <c r="C59" s="18"/>
      <c r="D59" s="18"/>
      <c r="E59" s="12"/>
      <c r="F59" s="18"/>
      <c r="G59" s="12"/>
      <c r="H59" s="19"/>
    </row>
    <row r="60" spans="1:8" x14ac:dyDescent="0.3">
      <c r="A60" s="9">
        <f t="shared" si="4"/>
        <v>60</v>
      </c>
      <c r="B60" s="17"/>
      <c r="C60" s="18"/>
      <c r="D60" s="18"/>
      <c r="E60" s="12"/>
      <c r="F60" s="18"/>
      <c r="G60" s="12"/>
      <c r="H60" s="19"/>
    </row>
    <row r="61" spans="1:8" x14ac:dyDescent="0.3">
      <c r="A61" s="9">
        <f t="shared" si="4"/>
        <v>61</v>
      </c>
      <c r="B61" s="17"/>
      <c r="C61" s="18"/>
      <c r="D61" s="18"/>
      <c r="E61" s="12"/>
      <c r="F61" s="18"/>
      <c r="G61" s="12"/>
      <c r="H61" s="19"/>
    </row>
    <row r="62" spans="1:8" x14ac:dyDescent="0.3">
      <c r="A62" s="9">
        <f t="shared" si="4"/>
        <v>62</v>
      </c>
      <c r="B62" s="17"/>
      <c r="C62" s="18"/>
      <c r="D62" s="18"/>
      <c r="E62" s="12"/>
      <c r="F62" s="18"/>
      <c r="G62" s="12"/>
      <c r="H62" s="19"/>
    </row>
    <row r="63" spans="1:8" x14ac:dyDescent="0.3">
      <c r="A63" s="9">
        <f t="shared" si="4"/>
        <v>63</v>
      </c>
      <c r="B63" s="17"/>
      <c r="C63" s="18"/>
      <c r="D63" s="18"/>
      <c r="E63" s="12"/>
      <c r="F63" s="18"/>
      <c r="G63" s="12"/>
      <c r="H63" s="19"/>
    </row>
    <row r="64" spans="1:8" x14ac:dyDescent="0.3">
      <c r="A64" s="9">
        <f t="shared" si="4"/>
        <v>64</v>
      </c>
      <c r="B64" s="17"/>
      <c r="C64" s="18"/>
      <c r="D64" s="18"/>
      <c r="E64" s="12"/>
      <c r="F64" s="18"/>
      <c r="G64" s="12"/>
      <c r="H64" s="19"/>
    </row>
    <row r="65" spans="1:8" x14ac:dyDescent="0.3">
      <c r="A65" s="9">
        <f t="shared" si="4"/>
        <v>65</v>
      </c>
      <c r="B65" s="17"/>
      <c r="C65" s="18"/>
      <c r="D65" s="18"/>
      <c r="E65" s="12"/>
      <c r="F65" s="18"/>
      <c r="G65" s="12"/>
      <c r="H65" s="19"/>
    </row>
    <row r="66" spans="1:8" x14ac:dyDescent="0.3">
      <c r="A66" s="9">
        <f t="shared" si="4"/>
        <v>66</v>
      </c>
      <c r="B66" s="17"/>
      <c r="C66" s="18"/>
      <c r="D66" s="18"/>
      <c r="E66" s="12"/>
      <c r="F66" s="18"/>
      <c r="G66" s="12"/>
      <c r="H66" s="19"/>
    </row>
    <row r="67" spans="1:8" x14ac:dyDescent="0.3">
      <c r="A67" s="9">
        <f t="shared" si="4"/>
        <v>67</v>
      </c>
      <c r="B67" s="17"/>
      <c r="C67" s="18"/>
      <c r="D67" s="18"/>
      <c r="E67" s="12"/>
      <c r="F67" s="18"/>
      <c r="G67" s="12"/>
      <c r="H67" s="19"/>
    </row>
    <row r="68" spans="1:8" x14ac:dyDescent="0.3">
      <c r="A68" s="9">
        <f t="shared" si="4"/>
        <v>68</v>
      </c>
      <c r="B68" s="17"/>
      <c r="C68" s="18"/>
      <c r="D68" s="18"/>
      <c r="E68" s="12"/>
      <c r="F68" s="18"/>
      <c r="G68" s="12"/>
      <c r="H68" s="19"/>
    </row>
    <row r="69" spans="1:8" x14ac:dyDescent="0.3">
      <c r="A69" s="9">
        <f t="shared" si="4"/>
        <v>69</v>
      </c>
      <c r="B69" s="17"/>
      <c r="C69" s="18"/>
      <c r="D69" s="18"/>
      <c r="E69" s="12"/>
      <c r="F69" s="18"/>
      <c r="G69" s="12"/>
      <c r="H69" s="19"/>
    </row>
    <row r="70" spans="1:8" x14ac:dyDescent="0.3">
      <c r="A70" s="9">
        <f t="shared" si="4"/>
        <v>70</v>
      </c>
      <c r="B70" s="17"/>
      <c r="C70" s="18"/>
      <c r="D70" s="18"/>
      <c r="E70" s="12"/>
      <c r="F70" s="18"/>
      <c r="G70" s="12"/>
      <c r="H70" s="19"/>
    </row>
    <row r="71" spans="1:8" x14ac:dyDescent="0.3">
      <c r="A71" s="9">
        <f t="shared" si="4"/>
        <v>71</v>
      </c>
      <c r="B71" s="20"/>
      <c r="C71" s="21"/>
      <c r="D71" s="21"/>
      <c r="E71" s="22"/>
      <c r="F71" s="21"/>
      <c r="G71" s="22"/>
      <c r="H71" s="23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NK1127"/>
  <sheetViews>
    <sheetView showGridLine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3" sqref="C3"/>
    </sheetView>
  </sheetViews>
  <sheetFormatPr baseColWidth="10" defaultColWidth="2.88671875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220" max="220" width="2.88671875" hidden="1"/>
    <col min="282" max="282" width="2.88671875" hidden="1"/>
    <col min="373" max="375" width="2.88671875" hidden="1"/>
    <col min="763" max="1024" width="10.6640625" customWidth="1"/>
  </cols>
  <sheetData>
    <row r="1" spans="1:96" ht="42.6" customHeight="1" x14ac:dyDescent="0.3">
      <c r="A1" s="24">
        <v>1</v>
      </c>
      <c r="D1" s="25"/>
      <c r="E1" s="25"/>
      <c r="F1" s="25"/>
      <c r="G1" s="25"/>
      <c r="H1" s="25"/>
      <c r="I1" s="25"/>
      <c r="J1" s="25"/>
      <c r="K1" s="26" t="s">
        <v>13</v>
      </c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7"/>
      <c r="BS1" s="27"/>
      <c r="BT1" s="27"/>
      <c r="BU1" s="27"/>
      <c r="BV1" s="27"/>
      <c r="BW1" s="27"/>
      <c r="BX1" s="27"/>
      <c r="BY1" s="27"/>
      <c r="BZ1" s="27"/>
      <c r="CA1" s="28"/>
      <c r="CB1" s="28"/>
      <c r="CC1" s="29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7"/>
    </row>
    <row r="2" spans="1:96" ht="20.100000000000001" customHeight="1" x14ac:dyDescent="0.3">
      <c r="B2" s="30"/>
      <c r="C2" s="31"/>
      <c r="D2" s="1" t="s">
        <v>14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96" ht="31.5" customHeight="1" x14ac:dyDescent="0.3">
      <c r="B3" s="32"/>
      <c r="C3" s="33"/>
      <c r="D3" s="34">
        <v>44166</v>
      </c>
      <c r="E3" s="34">
        <v>44167</v>
      </c>
      <c r="F3" s="34">
        <v>44168</v>
      </c>
      <c r="G3" s="34">
        <v>44169</v>
      </c>
      <c r="H3" s="35">
        <v>44170</v>
      </c>
      <c r="I3" s="35">
        <v>44171</v>
      </c>
      <c r="J3" s="34">
        <v>44172</v>
      </c>
      <c r="K3" s="34">
        <v>44173</v>
      </c>
      <c r="L3" s="34">
        <v>44174</v>
      </c>
      <c r="M3" s="34">
        <v>44175</v>
      </c>
      <c r="N3" s="34">
        <v>44176</v>
      </c>
      <c r="O3" s="35">
        <v>44177</v>
      </c>
      <c r="P3" s="36">
        <v>44178</v>
      </c>
      <c r="Q3" s="34">
        <v>44179</v>
      </c>
      <c r="R3" s="34">
        <v>44180</v>
      </c>
      <c r="S3" s="34">
        <v>44181</v>
      </c>
      <c r="T3" s="34">
        <v>44182</v>
      </c>
      <c r="U3" s="34">
        <v>44183</v>
      </c>
      <c r="V3" s="35">
        <v>44184</v>
      </c>
      <c r="W3" s="35">
        <v>44185</v>
      </c>
      <c r="X3" s="34">
        <v>44186</v>
      </c>
      <c r="Y3" s="34">
        <v>44187</v>
      </c>
      <c r="Z3" s="34">
        <v>44188</v>
      </c>
      <c r="AA3" s="34">
        <v>44189</v>
      </c>
      <c r="AB3" s="35">
        <v>44190</v>
      </c>
      <c r="AC3" s="35">
        <v>44191</v>
      </c>
      <c r="AD3" s="35">
        <v>44192</v>
      </c>
      <c r="AE3" s="34">
        <v>44193</v>
      </c>
      <c r="AF3" s="34">
        <v>44194</v>
      </c>
      <c r="AG3" s="34">
        <v>44195</v>
      </c>
      <c r="AH3" s="34">
        <v>44196</v>
      </c>
    </row>
    <row r="4" spans="1:96" s="43" customFormat="1" ht="22.95" customHeight="1" x14ac:dyDescent="0.3">
      <c r="A4" s="37"/>
      <c r="B4" s="38" t="s">
        <v>15</v>
      </c>
      <c r="C4" s="39"/>
      <c r="D4" s="40" t="str">
        <f t="shared" ref="D4:AH4" si="0">IF(WEEKDAY(D$3)=2,_xlfn.ISOWEEKNUM(D$3),"")</f>
        <v/>
      </c>
      <c r="E4" s="40" t="str">
        <f t="shared" si="0"/>
        <v/>
      </c>
      <c r="F4" s="40" t="str">
        <f t="shared" si="0"/>
        <v/>
      </c>
      <c r="G4" s="40" t="str">
        <f t="shared" si="0"/>
        <v/>
      </c>
      <c r="H4" s="41" t="str">
        <f t="shared" si="0"/>
        <v/>
      </c>
      <c r="I4" s="41" t="str">
        <f t="shared" si="0"/>
        <v/>
      </c>
      <c r="J4" s="40">
        <f t="shared" si="0"/>
        <v>50</v>
      </c>
      <c r="K4" s="40" t="str">
        <f t="shared" si="0"/>
        <v/>
      </c>
      <c r="L4" s="40" t="str">
        <f t="shared" si="0"/>
        <v/>
      </c>
      <c r="M4" s="40" t="str">
        <f t="shared" si="0"/>
        <v/>
      </c>
      <c r="N4" s="40" t="str">
        <f t="shared" si="0"/>
        <v/>
      </c>
      <c r="O4" s="41" t="str">
        <f t="shared" si="0"/>
        <v/>
      </c>
      <c r="P4" s="42" t="str">
        <f t="shared" si="0"/>
        <v/>
      </c>
      <c r="Q4" s="40">
        <f t="shared" si="0"/>
        <v>51</v>
      </c>
      <c r="R4" s="40" t="str">
        <f t="shared" si="0"/>
        <v/>
      </c>
      <c r="S4" s="40" t="str">
        <f t="shared" si="0"/>
        <v/>
      </c>
      <c r="T4" s="40" t="str">
        <f t="shared" si="0"/>
        <v/>
      </c>
      <c r="U4" s="40" t="str">
        <f t="shared" si="0"/>
        <v/>
      </c>
      <c r="V4" s="41" t="str">
        <f t="shared" si="0"/>
        <v/>
      </c>
      <c r="W4" s="41" t="str">
        <f t="shared" si="0"/>
        <v/>
      </c>
      <c r="X4" s="40">
        <f t="shared" si="0"/>
        <v>52</v>
      </c>
      <c r="Y4" s="40" t="str">
        <f t="shared" si="0"/>
        <v/>
      </c>
      <c r="Z4" s="40" t="str">
        <f t="shared" si="0"/>
        <v/>
      </c>
      <c r="AA4" s="40" t="str">
        <f t="shared" si="0"/>
        <v/>
      </c>
      <c r="AB4" s="41" t="str">
        <f t="shared" si="0"/>
        <v/>
      </c>
      <c r="AC4" s="41" t="str">
        <f t="shared" si="0"/>
        <v/>
      </c>
      <c r="AD4" s="41" t="str">
        <f t="shared" si="0"/>
        <v/>
      </c>
      <c r="AE4" s="40">
        <f t="shared" si="0"/>
        <v>53</v>
      </c>
      <c r="AF4" s="40" t="str">
        <f t="shared" si="0"/>
        <v/>
      </c>
      <c r="AG4" s="40" t="str">
        <f t="shared" si="0"/>
        <v/>
      </c>
      <c r="AH4" s="40" t="str">
        <f t="shared" si="0"/>
        <v/>
      </c>
    </row>
    <row r="5" spans="1:96" ht="22.95" customHeight="1" x14ac:dyDescent="0.3">
      <c r="A5" s="44"/>
      <c r="B5" s="38" t="s">
        <v>16</v>
      </c>
      <c r="C5" s="39"/>
      <c r="D5" s="45"/>
      <c r="E5" s="45"/>
      <c r="F5" s="45"/>
      <c r="G5" s="45"/>
      <c r="H5" s="46"/>
      <c r="I5" s="46"/>
      <c r="J5" s="45"/>
      <c r="K5" s="45"/>
      <c r="L5" s="45"/>
      <c r="M5" s="45"/>
      <c r="N5" s="45"/>
      <c r="O5" s="46"/>
      <c r="P5" s="47"/>
      <c r="Q5" s="45"/>
      <c r="R5" s="45"/>
      <c r="S5" s="45"/>
      <c r="T5" s="45"/>
      <c r="U5" s="45"/>
      <c r="V5" s="46"/>
      <c r="W5" s="46"/>
      <c r="X5" s="45"/>
      <c r="Y5" s="45"/>
      <c r="Z5" s="45"/>
      <c r="AA5" s="45"/>
      <c r="AB5" s="46"/>
      <c r="AC5" s="46"/>
      <c r="AD5" s="46"/>
      <c r="AE5" s="45"/>
      <c r="AF5" s="45"/>
      <c r="AG5" s="45"/>
      <c r="AH5" s="45"/>
    </row>
    <row r="6" spans="1:96" ht="22.95" customHeight="1" x14ac:dyDescent="0.3">
      <c r="A6" s="48"/>
      <c r="B6" s="38" t="s">
        <v>17</v>
      </c>
      <c r="C6" s="39"/>
      <c r="D6" s="45"/>
      <c r="E6" s="45"/>
      <c r="F6" s="45"/>
      <c r="G6" s="45"/>
      <c r="H6" s="46"/>
      <c r="I6" s="46"/>
      <c r="J6" s="45"/>
      <c r="K6" s="45"/>
      <c r="L6" s="45"/>
      <c r="M6" s="45"/>
      <c r="N6" s="45"/>
      <c r="O6" s="46"/>
      <c r="P6" s="47"/>
      <c r="Q6" s="45"/>
      <c r="R6" s="45"/>
      <c r="S6" s="45"/>
      <c r="T6" s="45"/>
      <c r="U6" s="45"/>
      <c r="V6" s="46"/>
      <c r="W6" s="46"/>
      <c r="X6" s="45"/>
      <c r="Y6" s="45"/>
      <c r="Z6" s="45"/>
      <c r="AA6" s="45"/>
      <c r="AB6" s="46"/>
      <c r="AC6" s="46"/>
      <c r="AD6" s="46"/>
      <c r="AE6" s="45"/>
      <c r="AF6" s="45"/>
      <c r="AG6" s="45"/>
      <c r="AH6" s="45"/>
    </row>
    <row r="7" spans="1:96" ht="22.95" customHeight="1" x14ac:dyDescent="0.3">
      <c r="A7" s="37"/>
      <c r="B7" s="38" t="s">
        <v>18</v>
      </c>
      <c r="C7" s="39"/>
      <c r="D7" s="45"/>
      <c r="E7" s="45"/>
      <c r="F7" s="45"/>
      <c r="G7" s="45"/>
      <c r="H7" s="46"/>
      <c r="I7" s="46"/>
      <c r="J7" s="45"/>
      <c r="K7" s="45"/>
      <c r="L7" s="45"/>
      <c r="M7" s="45"/>
      <c r="N7" s="45"/>
      <c r="O7" s="46"/>
      <c r="P7" s="47"/>
      <c r="Q7" s="45"/>
      <c r="R7" s="45"/>
      <c r="S7" s="45"/>
      <c r="T7" s="45"/>
      <c r="U7" s="45"/>
      <c r="V7" s="46"/>
      <c r="W7" s="46"/>
      <c r="X7" s="45"/>
      <c r="Y7" s="45"/>
      <c r="Z7" s="45"/>
      <c r="AA7" s="45"/>
      <c r="AB7" s="46"/>
      <c r="AC7" s="46"/>
      <c r="AD7" s="46"/>
      <c r="AE7" s="45"/>
      <c r="AF7" s="45"/>
      <c r="AG7" s="45"/>
      <c r="AH7" s="45"/>
    </row>
    <row r="8" spans="1:96" ht="22.95" customHeight="1" x14ac:dyDescent="0.3">
      <c r="A8" s="49"/>
      <c r="B8" s="38" t="s">
        <v>19</v>
      </c>
      <c r="C8" s="39"/>
      <c r="D8" s="45"/>
      <c r="E8" s="45"/>
      <c r="F8" s="45"/>
      <c r="G8" s="45"/>
      <c r="H8" s="46"/>
      <c r="I8" s="46"/>
      <c r="J8" s="45"/>
      <c r="K8" s="45"/>
      <c r="L8" s="45"/>
      <c r="M8" s="45"/>
      <c r="N8" s="45"/>
      <c r="O8" s="46"/>
      <c r="P8" s="47"/>
      <c r="Q8" s="45"/>
      <c r="R8" s="45"/>
      <c r="S8" s="45"/>
      <c r="T8" s="45"/>
      <c r="U8" s="45"/>
      <c r="V8" s="46"/>
      <c r="W8" s="46"/>
      <c r="X8" s="45"/>
      <c r="Y8" s="45"/>
      <c r="Z8" s="45"/>
      <c r="AA8" s="45"/>
      <c r="AB8" s="46"/>
      <c r="AC8" s="46"/>
      <c r="AD8" s="46"/>
      <c r="AE8" s="45"/>
      <c r="AF8" s="45"/>
      <c r="AG8" s="45"/>
      <c r="AH8" s="45"/>
    </row>
    <row r="9" spans="1:96" ht="22.95" customHeight="1" x14ac:dyDescent="0.3">
      <c r="A9" s="37"/>
      <c r="B9" s="38"/>
      <c r="C9" s="39"/>
      <c r="D9" s="45"/>
      <c r="E9" s="45"/>
      <c r="F9" s="45"/>
      <c r="G9" s="45"/>
      <c r="H9" s="46"/>
      <c r="I9" s="46"/>
      <c r="J9" s="45"/>
      <c r="K9" s="45"/>
      <c r="L9" s="45"/>
      <c r="M9" s="45"/>
      <c r="N9" s="45"/>
      <c r="O9" s="46"/>
      <c r="P9" s="47"/>
      <c r="Q9" s="45"/>
      <c r="R9" s="45"/>
      <c r="S9" s="45"/>
      <c r="T9" s="45"/>
      <c r="U9" s="45"/>
      <c r="V9" s="46"/>
      <c r="W9" s="46"/>
      <c r="X9" s="45"/>
      <c r="Y9" s="45"/>
      <c r="Z9" s="45"/>
      <c r="AA9" s="45"/>
      <c r="AB9" s="46"/>
      <c r="AC9" s="46"/>
      <c r="AD9" s="46"/>
      <c r="AE9" s="45"/>
      <c r="AF9" s="45"/>
      <c r="AG9" s="45"/>
      <c r="AH9" s="45"/>
    </row>
    <row r="10" spans="1:96" ht="22.95" customHeight="1" x14ac:dyDescent="0.3">
      <c r="A10" s="44"/>
      <c r="B10" s="38"/>
      <c r="C10" s="39"/>
      <c r="D10" s="45"/>
      <c r="E10" s="45"/>
      <c r="F10" s="45"/>
      <c r="G10" s="45"/>
      <c r="H10" s="46"/>
      <c r="I10" s="46"/>
      <c r="J10" s="45"/>
      <c r="K10" s="45"/>
      <c r="L10" s="45"/>
      <c r="M10" s="45"/>
      <c r="N10" s="45"/>
      <c r="O10" s="46"/>
      <c r="P10" s="47"/>
      <c r="Q10" s="45"/>
      <c r="R10" s="45"/>
      <c r="S10" s="45"/>
      <c r="T10" s="45"/>
      <c r="U10" s="45"/>
      <c r="V10" s="46"/>
      <c r="W10" s="46"/>
      <c r="X10" s="45"/>
      <c r="Y10" s="45"/>
      <c r="Z10" s="45"/>
      <c r="AA10" s="45"/>
      <c r="AB10" s="46"/>
      <c r="AC10" s="46"/>
      <c r="AD10" s="46"/>
      <c r="AE10" s="45"/>
      <c r="AF10" s="45"/>
      <c r="AG10" s="45"/>
      <c r="AH10" s="45"/>
    </row>
    <row r="11" spans="1:96" ht="22.95" customHeight="1" x14ac:dyDescent="0.3">
      <c r="A11" s="48"/>
      <c r="B11" s="38"/>
      <c r="C11" s="39"/>
      <c r="D11" s="45"/>
      <c r="E11" s="45"/>
      <c r="F11" s="45"/>
      <c r="G11" s="45"/>
      <c r="H11" s="46"/>
      <c r="I11" s="46"/>
      <c r="J11" s="45"/>
      <c r="K11" s="45"/>
      <c r="L11" s="45"/>
      <c r="M11" s="45"/>
      <c r="N11" s="45"/>
      <c r="O11" s="46"/>
      <c r="P11" s="47"/>
      <c r="Q11" s="45"/>
      <c r="R11" s="45"/>
      <c r="S11" s="45"/>
      <c r="T11" s="45"/>
      <c r="U11" s="45"/>
      <c r="V11" s="46"/>
      <c r="W11" s="46"/>
      <c r="X11" s="45"/>
      <c r="Y11" s="45"/>
      <c r="Z11" s="45"/>
      <c r="AA11" s="45"/>
      <c r="AB11" s="46"/>
      <c r="AC11" s="46"/>
      <c r="AD11" s="46"/>
      <c r="AE11" s="45"/>
      <c r="AF11" s="45"/>
      <c r="AG11" s="45"/>
      <c r="AH11" s="45"/>
    </row>
    <row r="12" spans="1:96" ht="22.95" customHeight="1" x14ac:dyDescent="0.3">
      <c r="A12" s="50"/>
      <c r="B12" s="38"/>
      <c r="C12" s="39"/>
      <c r="D12" s="45"/>
      <c r="E12" s="45"/>
      <c r="F12" s="45"/>
      <c r="G12" s="45"/>
      <c r="H12" s="46"/>
      <c r="I12" s="46"/>
      <c r="J12" s="45"/>
      <c r="K12" s="45"/>
      <c r="L12" s="45"/>
      <c r="M12" s="45"/>
      <c r="N12" s="45"/>
      <c r="O12" s="46"/>
      <c r="P12" s="47"/>
      <c r="Q12" s="45"/>
      <c r="R12" s="45"/>
      <c r="S12" s="45"/>
      <c r="T12" s="45"/>
      <c r="U12" s="45"/>
      <c r="V12" s="46"/>
      <c r="W12" s="46"/>
      <c r="X12" s="45"/>
      <c r="Y12" s="45"/>
      <c r="Z12" s="45"/>
      <c r="AA12" s="45"/>
      <c r="AB12" s="46"/>
      <c r="AC12" s="46"/>
      <c r="AD12" s="46"/>
      <c r="AE12" s="45"/>
      <c r="AF12" s="45"/>
      <c r="AG12" s="45"/>
      <c r="AH12" s="45"/>
    </row>
    <row r="13" spans="1:96" ht="22.95" customHeight="1" x14ac:dyDescent="0.3">
      <c r="A13" s="49"/>
      <c r="B13" s="38"/>
      <c r="C13" s="39"/>
      <c r="D13" s="45"/>
      <c r="E13" s="45"/>
      <c r="F13" s="45"/>
      <c r="G13" s="45"/>
      <c r="H13" s="46"/>
      <c r="I13" s="46"/>
      <c r="J13" s="45"/>
      <c r="K13" s="45"/>
      <c r="L13" s="45"/>
      <c r="M13" s="45"/>
      <c r="N13" s="45"/>
      <c r="O13" s="46"/>
      <c r="P13" s="47"/>
      <c r="Q13" s="45"/>
      <c r="R13" s="45"/>
      <c r="S13" s="45"/>
      <c r="T13" s="45"/>
      <c r="U13" s="45"/>
      <c r="V13" s="46"/>
      <c r="W13" s="46"/>
      <c r="X13" s="45"/>
      <c r="Y13" s="45"/>
      <c r="Z13" s="45"/>
      <c r="AA13" s="45"/>
      <c r="AB13" s="46"/>
      <c r="AC13" s="46"/>
      <c r="AD13" s="46"/>
      <c r="AE13" s="45"/>
      <c r="AF13" s="45"/>
      <c r="AG13" s="45"/>
      <c r="AH13" s="45"/>
    </row>
    <row r="14" spans="1:96" ht="22.95" customHeight="1" x14ac:dyDescent="0.3">
      <c r="A14" s="37"/>
      <c r="B14" s="38"/>
      <c r="C14" s="39"/>
      <c r="D14" s="40" t="str">
        <f t="shared" ref="D14:AH14" si="1">IF(WEEKDAY(D$3)=2,_xlfn.ISOWEEKNUM(D$3),"")</f>
        <v/>
      </c>
      <c r="E14" s="40" t="str">
        <f t="shared" si="1"/>
        <v/>
      </c>
      <c r="F14" s="40" t="str">
        <f t="shared" si="1"/>
        <v/>
      </c>
      <c r="G14" s="40" t="str">
        <f t="shared" si="1"/>
        <v/>
      </c>
      <c r="H14" s="41" t="str">
        <f t="shared" si="1"/>
        <v/>
      </c>
      <c r="I14" s="41" t="str">
        <f t="shared" si="1"/>
        <v/>
      </c>
      <c r="J14" s="40">
        <f t="shared" si="1"/>
        <v>50</v>
      </c>
      <c r="K14" s="40" t="str">
        <f t="shared" si="1"/>
        <v/>
      </c>
      <c r="L14" s="40" t="str">
        <f t="shared" si="1"/>
        <v/>
      </c>
      <c r="M14" s="40" t="str">
        <f t="shared" si="1"/>
        <v/>
      </c>
      <c r="N14" s="40" t="str">
        <f t="shared" si="1"/>
        <v/>
      </c>
      <c r="O14" s="41" t="str">
        <f t="shared" si="1"/>
        <v/>
      </c>
      <c r="P14" s="42" t="str">
        <f t="shared" si="1"/>
        <v/>
      </c>
      <c r="Q14" s="40">
        <f t="shared" si="1"/>
        <v>51</v>
      </c>
      <c r="R14" s="40" t="str">
        <f t="shared" si="1"/>
        <v/>
      </c>
      <c r="S14" s="40" t="str">
        <f t="shared" si="1"/>
        <v/>
      </c>
      <c r="T14" s="40" t="str">
        <f t="shared" si="1"/>
        <v/>
      </c>
      <c r="U14" s="40" t="str">
        <f t="shared" si="1"/>
        <v/>
      </c>
      <c r="V14" s="41" t="str">
        <f t="shared" si="1"/>
        <v/>
      </c>
      <c r="W14" s="41" t="str">
        <f t="shared" si="1"/>
        <v/>
      </c>
      <c r="X14" s="40">
        <f t="shared" si="1"/>
        <v>52</v>
      </c>
      <c r="Y14" s="40" t="str">
        <f t="shared" si="1"/>
        <v/>
      </c>
      <c r="Z14" s="40" t="str">
        <f t="shared" si="1"/>
        <v/>
      </c>
      <c r="AA14" s="40" t="str">
        <f t="shared" si="1"/>
        <v/>
      </c>
      <c r="AB14" s="41" t="str">
        <f t="shared" si="1"/>
        <v/>
      </c>
      <c r="AC14" s="41" t="str">
        <f t="shared" si="1"/>
        <v/>
      </c>
      <c r="AD14" s="41" t="str">
        <f t="shared" si="1"/>
        <v/>
      </c>
      <c r="AE14" s="40">
        <f t="shared" si="1"/>
        <v>53</v>
      </c>
      <c r="AF14" s="40" t="str">
        <f t="shared" si="1"/>
        <v/>
      </c>
      <c r="AG14" s="40" t="str">
        <f t="shared" si="1"/>
        <v/>
      </c>
      <c r="AH14" s="40" t="str">
        <f t="shared" si="1"/>
        <v/>
      </c>
    </row>
    <row r="15" spans="1:96" ht="22.95" customHeight="1" x14ac:dyDescent="0.3">
      <c r="A15" s="44"/>
      <c r="B15" s="38"/>
      <c r="C15" s="39"/>
      <c r="D15" s="45"/>
      <c r="E15" s="45"/>
      <c r="F15" s="45"/>
      <c r="G15" s="45"/>
      <c r="H15" s="46"/>
      <c r="I15" s="46"/>
      <c r="J15" s="45"/>
      <c r="K15" s="45"/>
      <c r="L15" s="45"/>
      <c r="M15" s="45"/>
      <c r="N15" s="45"/>
      <c r="O15" s="46"/>
      <c r="P15" s="47"/>
      <c r="Q15" s="45"/>
      <c r="R15" s="45"/>
      <c r="S15" s="45"/>
      <c r="T15" s="45"/>
      <c r="U15" s="45"/>
      <c r="V15" s="46"/>
      <c r="W15" s="46"/>
      <c r="X15" s="45"/>
      <c r="Y15" s="45"/>
      <c r="Z15" s="45"/>
      <c r="AA15" s="45"/>
      <c r="AB15" s="46"/>
      <c r="AC15" s="46"/>
      <c r="AD15" s="46"/>
      <c r="AE15" s="45"/>
      <c r="AF15" s="45"/>
      <c r="AG15" s="45"/>
      <c r="AH15" s="45"/>
    </row>
    <row r="16" spans="1:96" ht="22.95" customHeight="1" x14ac:dyDescent="0.3">
      <c r="A16" s="48"/>
      <c r="B16" s="38"/>
      <c r="C16" s="39"/>
      <c r="D16" s="45"/>
      <c r="E16" s="45"/>
      <c r="F16" s="45"/>
      <c r="G16" s="45"/>
      <c r="H16" s="46"/>
      <c r="I16" s="46"/>
      <c r="J16" s="45"/>
      <c r="K16" s="45"/>
      <c r="L16" s="45"/>
      <c r="M16" s="45"/>
      <c r="N16" s="45"/>
      <c r="O16" s="46"/>
      <c r="P16" s="47"/>
      <c r="Q16" s="45"/>
      <c r="R16" s="45"/>
      <c r="S16" s="45"/>
      <c r="T16" s="45"/>
      <c r="U16" s="45"/>
      <c r="V16" s="46"/>
      <c r="W16" s="46"/>
      <c r="X16" s="45"/>
      <c r="Y16" s="45"/>
      <c r="Z16" s="45"/>
      <c r="AA16" s="45"/>
      <c r="AB16" s="46"/>
      <c r="AC16" s="46"/>
      <c r="AD16" s="46"/>
      <c r="AE16" s="45"/>
      <c r="AF16" s="45"/>
      <c r="AG16" s="45"/>
      <c r="AH16" s="45"/>
    </row>
    <row r="17" spans="1:34" ht="22.95" customHeight="1" x14ac:dyDescent="0.3">
      <c r="A17" s="50"/>
      <c r="B17" s="38"/>
      <c r="C17" s="39"/>
      <c r="D17" s="45"/>
      <c r="E17" s="45"/>
      <c r="F17" s="45"/>
      <c r="G17" s="45"/>
      <c r="H17" s="46"/>
      <c r="I17" s="46"/>
      <c r="J17" s="45"/>
      <c r="K17" s="45"/>
      <c r="L17" s="45"/>
      <c r="M17" s="45"/>
      <c r="N17" s="45"/>
      <c r="O17" s="46"/>
      <c r="P17" s="47"/>
      <c r="Q17" s="45"/>
      <c r="R17" s="45"/>
      <c r="S17" s="45"/>
      <c r="T17" s="45"/>
      <c r="U17" s="45"/>
      <c r="V17" s="46"/>
      <c r="W17" s="46"/>
      <c r="X17" s="45"/>
      <c r="Y17" s="45"/>
      <c r="Z17" s="45"/>
      <c r="AA17" s="45"/>
      <c r="AB17" s="46"/>
      <c r="AC17" s="46"/>
      <c r="AD17" s="46"/>
      <c r="AE17" s="45"/>
      <c r="AF17" s="45"/>
      <c r="AG17" s="45"/>
      <c r="AH17" s="45"/>
    </row>
    <row r="18" spans="1:34" ht="22.95" customHeight="1" x14ac:dyDescent="0.3">
      <c r="A18" s="49"/>
      <c r="B18" s="38"/>
      <c r="C18" s="39"/>
      <c r="D18" s="45"/>
      <c r="E18" s="45"/>
      <c r="F18" s="45"/>
      <c r="G18" s="45"/>
      <c r="H18" s="46"/>
      <c r="I18" s="46"/>
      <c r="J18" s="45"/>
      <c r="K18" s="45"/>
      <c r="L18" s="45"/>
      <c r="M18" s="45"/>
      <c r="N18" s="45"/>
      <c r="O18" s="46"/>
      <c r="P18" s="47"/>
      <c r="Q18" s="45"/>
      <c r="R18" s="45"/>
      <c r="S18" s="45"/>
      <c r="T18" s="45"/>
      <c r="U18" s="45"/>
      <c r="V18" s="46"/>
      <c r="W18" s="46"/>
      <c r="X18" s="45"/>
      <c r="Y18" s="45"/>
      <c r="Z18" s="45"/>
      <c r="AA18" s="45"/>
      <c r="AB18" s="46"/>
      <c r="AC18" s="46"/>
      <c r="AD18" s="46"/>
      <c r="AE18" s="45"/>
      <c r="AF18" s="45"/>
      <c r="AG18" s="45"/>
      <c r="AH18" s="45"/>
    </row>
    <row r="19" spans="1:34" ht="22.95" customHeight="1" x14ac:dyDescent="0.3">
      <c r="A19" s="37"/>
      <c r="B19" s="38"/>
      <c r="C19" s="39"/>
      <c r="D19" s="45"/>
      <c r="E19" s="45"/>
      <c r="F19" s="45"/>
      <c r="G19" s="45"/>
      <c r="H19" s="46"/>
      <c r="I19" s="46"/>
      <c r="J19" s="45"/>
      <c r="K19" s="45"/>
      <c r="L19" s="45"/>
      <c r="M19" s="45"/>
      <c r="N19" s="45"/>
      <c r="O19" s="46"/>
      <c r="P19" s="47"/>
      <c r="Q19" s="45"/>
      <c r="R19" s="45"/>
      <c r="S19" s="45"/>
      <c r="T19" s="45"/>
      <c r="U19" s="45"/>
      <c r="V19" s="46"/>
      <c r="W19" s="46"/>
      <c r="X19" s="45"/>
      <c r="Y19" s="45"/>
      <c r="Z19" s="45"/>
      <c r="AA19" s="45"/>
      <c r="AB19" s="46"/>
      <c r="AC19" s="46"/>
      <c r="AD19" s="46"/>
      <c r="AE19" s="45"/>
      <c r="AF19" s="45"/>
      <c r="AG19" s="45"/>
      <c r="AH19" s="45"/>
    </row>
    <row r="20" spans="1:34" ht="22.95" customHeight="1" x14ac:dyDescent="0.3">
      <c r="A20" s="44"/>
      <c r="B20" s="38"/>
      <c r="C20" s="39"/>
      <c r="D20" s="45"/>
      <c r="E20" s="45"/>
      <c r="F20" s="45"/>
      <c r="G20" s="45"/>
      <c r="H20" s="46"/>
      <c r="I20" s="46"/>
      <c r="J20" s="45"/>
      <c r="K20" s="45"/>
      <c r="L20" s="45"/>
      <c r="M20" s="45"/>
      <c r="N20" s="45"/>
      <c r="O20" s="46"/>
      <c r="P20" s="47"/>
      <c r="Q20" s="45"/>
      <c r="R20" s="45"/>
      <c r="S20" s="45"/>
      <c r="T20" s="45"/>
      <c r="U20" s="45"/>
      <c r="V20" s="46"/>
      <c r="W20" s="46"/>
      <c r="X20" s="45"/>
      <c r="Y20" s="45"/>
      <c r="Z20" s="45"/>
      <c r="AA20" s="45"/>
      <c r="AB20" s="46"/>
      <c r="AC20" s="46"/>
      <c r="AD20" s="46"/>
      <c r="AE20" s="45"/>
      <c r="AF20" s="45"/>
      <c r="AG20" s="45"/>
      <c r="AH20" s="45"/>
    </row>
    <row r="21" spans="1:34" ht="22.95" customHeight="1" x14ac:dyDescent="0.3">
      <c r="A21" s="48"/>
      <c r="B21" s="38"/>
      <c r="C21" s="39"/>
      <c r="D21" s="45"/>
      <c r="E21" s="45"/>
      <c r="F21" s="45"/>
      <c r="G21" s="45"/>
      <c r="H21" s="46"/>
      <c r="I21" s="46"/>
      <c r="J21" s="45"/>
      <c r="K21" s="45"/>
      <c r="L21" s="45"/>
      <c r="M21" s="45"/>
      <c r="N21" s="45"/>
      <c r="O21" s="46"/>
      <c r="P21" s="47"/>
      <c r="Q21" s="45"/>
      <c r="R21" s="45"/>
      <c r="S21" s="45"/>
      <c r="T21" s="45"/>
      <c r="U21" s="45"/>
      <c r="V21" s="46"/>
      <c r="W21" s="46"/>
      <c r="X21" s="45"/>
      <c r="Y21" s="45"/>
      <c r="Z21" s="45"/>
      <c r="AA21" s="45"/>
      <c r="AB21" s="46"/>
      <c r="AC21" s="46"/>
      <c r="AD21" s="46"/>
      <c r="AE21" s="45"/>
      <c r="AF21" s="45"/>
      <c r="AG21" s="45"/>
      <c r="AH21" s="45"/>
    </row>
    <row r="22" spans="1:34" ht="22.95" customHeight="1" x14ac:dyDescent="0.3">
      <c r="A22" s="50"/>
      <c r="B22" s="38"/>
      <c r="C22" s="39"/>
      <c r="D22" s="45"/>
      <c r="E22" s="45"/>
      <c r="F22" s="45"/>
      <c r="G22" s="45"/>
      <c r="H22" s="46"/>
      <c r="I22" s="46"/>
      <c r="J22" s="45"/>
      <c r="K22" s="45"/>
      <c r="L22" s="45"/>
      <c r="M22" s="45"/>
      <c r="N22" s="45"/>
      <c r="O22" s="46"/>
      <c r="P22" s="47"/>
      <c r="Q22" s="45"/>
      <c r="R22" s="45"/>
      <c r="S22" s="45"/>
      <c r="T22" s="45"/>
      <c r="U22" s="45"/>
      <c r="V22" s="46"/>
      <c r="W22" s="46"/>
      <c r="X22" s="45"/>
      <c r="Y22" s="45"/>
      <c r="Z22" s="45"/>
      <c r="AA22" s="45"/>
      <c r="AB22" s="46"/>
      <c r="AC22" s="46"/>
      <c r="AD22" s="46"/>
      <c r="AE22" s="45"/>
      <c r="AF22" s="45"/>
      <c r="AG22" s="45"/>
      <c r="AH22" s="45"/>
    </row>
    <row r="23" spans="1:34" ht="22.95" customHeight="1" x14ac:dyDescent="0.3">
      <c r="A23" s="49"/>
      <c r="B23" s="38"/>
      <c r="C23" s="39"/>
      <c r="D23" s="45"/>
      <c r="E23" s="45"/>
      <c r="F23" s="45"/>
      <c r="G23" s="45"/>
      <c r="H23" s="46"/>
      <c r="I23" s="46"/>
      <c r="J23" s="45"/>
      <c r="K23" s="45"/>
      <c r="L23" s="45"/>
      <c r="M23" s="45"/>
      <c r="N23" s="45"/>
      <c r="O23" s="46"/>
      <c r="P23" s="47"/>
      <c r="Q23" s="45"/>
      <c r="R23" s="45"/>
      <c r="S23" s="45"/>
      <c r="T23" s="45"/>
      <c r="U23" s="45"/>
      <c r="V23" s="46"/>
      <c r="W23" s="46"/>
      <c r="X23" s="45"/>
      <c r="Y23" s="45"/>
      <c r="Z23" s="45"/>
      <c r="AA23" s="45"/>
      <c r="AB23" s="46"/>
      <c r="AC23" s="46"/>
      <c r="AD23" s="46"/>
      <c r="AE23" s="45"/>
      <c r="AF23" s="45"/>
      <c r="AG23" s="45"/>
      <c r="AH23" s="45"/>
    </row>
    <row r="24" spans="1:34" ht="22.95" customHeight="1" x14ac:dyDescent="0.3">
      <c r="A24" s="37"/>
      <c r="B24" s="38"/>
      <c r="C24" s="39"/>
      <c r="D24" s="40" t="str">
        <f t="shared" ref="D24:AH24" si="2">IF(WEEKDAY(D$3)=2,_xlfn.ISOWEEKNUM(D$3),"")</f>
        <v/>
      </c>
      <c r="E24" s="40" t="str">
        <f t="shared" si="2"/>
        <v/>
      </c>
      <c r="F24" s="40" t="str">
        <f t="shared" si="2"/>
        <v/>
      </c>
      <c r="G24" s="40" t="str">
        <f t="shared" si="2"/>
        <v/>
      </c>
      <c r="H24" s="41" t="str">
        <f t="shared" si="2"/>
        <v/>
      </c>
      <c r="I24" s="41" t="str">
        <f t="shared" si="2"/>
        <v/>
      </c>
      <c r="J24" s="40">
        <f t="shared" si="2"/>
        <v>50</v>
      </c>
      <c r="K24" s="40" t="str">
        <f t="shared" si="2"/>
        <v/>
      </c>
      <c r="L24" s="40" t="str">
        <f t="shared" si="2"/>
        <v/>
      </c>
      <c r="M24" s="40" t="str">
        <f t="shared" si="2"/>
        <v/>
      </c>
      <c r="N24" s="40" t="str">
        <f t="shared" si="2"/>
        <v/>
      </c>
      <c r="O24" s="41" t="str">
        <f t="shared" si="2"/>
        <v/>
      </c>
      <c r="P24" s="42" t="str">
        <f t="shared" si="2"/>
        <v/>
      </c>
      <c r="Q24" s="40">
        <f t="shared" si="2"/>
        <v>51</v>
      </c>
      <c r="R24" s="40" t="str">
        <f t="shared" si="2"/>
        <v/>
      </c>
      <c r="S24" s="40" t="str">
        <f t="shared" si="2"/>
        <v/>
      </c>
      <c r="T24" s="40" t="str">
        <f t="shared" si="2"/>
        <v/>
      </c>
      <c r="U24" s="40" t="str">
        <f t="shared" si="2"/>
        <v/>
      </c>
      <c r="V24" s="41" t="str">
        <f t="shared" si="2"/>
        <v/>
      </c>
      <c r="W24" s="41" t="str">
        <f t="shared" si="2"/>
        <v/>
      </c>
      <c r="X24" s="40">
        <f t="shared" si="2"/>
        <v>52</v>
      </c>
      <c r="Y24" s="40" t="str">
        <f t="shared" si="2"/>
        <v/>
      </c>
      <c r="Z24" s="40" t="str">
        <f t="shared" si="2"/>
        <v/>
      </c>
      <c r="AA24" s="40" t="str">
        <f t="shared" si="2"/>
        <v/>
      </c>
      <c r="AB24" s="41" t="str">
        <f t="shared" si="2"/>
        <v/>
      </c>
      <c r="AC24" s="41" t="str">
        <f t="shared" si="2"/>
        <v/>
      </c>
      <c r="AD24" s="41" t="str">
        <f t="shared" si="2"/>
        <v/>
      </c>
      <c r="AE24" s="40">
        <f t="shared" si="2"/>
        <v>53</v>
      </c>
      <c r="AF24" s="40" t="str">
        <f t="shared" si="2"/>
        <v/>
      </c>
      <c r="AG24" s="40" t="str">
        <f t="shared" si="2"/>
        <v/>
      </c>
      <c r="AH24" s="40" t="str">
        <f t="shared" si="2"/>
        <v/>
      </c>
    </row>
    <row r="25" spans="1:34" ht="22.95" customHeight="1" x14ac:dyDescent="0.3">
      <c r="A25" s="44"/>
      <c r="B25" s="38"/>
      <c r="C25" s="39"/>
      <c r="D25" s="45"/>
      <c r="E25" s="45"/>
      <c r="F25" s="45"/>
      <c r="G25" s="45"/>
      <c r="H25" s="46"/>
      <c r="I25" s="46"/>
      <c r="J25" s="45"/>
      <c r="K25" s="45"/>
      <c r="L25" s="45"/>
      <c r="M25" s="45"/>
      <c r="N25" s="45"/>
      <c r="O25" s="46"/>
      <c r="P25" s="47"/>
      <c r="Q25" s="45"/>
      <c r="R25" s="45"/>
      <c r="S25" s="45"/>
      <c r="T25" s="45"/>
      <c r="U25" s="45"/>
      <c r="V25" s="46"/>
      <c r="W25" s="46"/>
      <c r="X25" s="45"/>
      <c r="Y25" s="45"/>
      <c r="Z25" s="45"/>
      <c r="AA25" s="45"/>
      <c r="AB25" s="46"/>
      <c r="AC25" s="46"/>
      <c r="AD25" s="46"/>
      <c r="AE25" s="45"/>
      <c r="AF25" s="45"/>
      <c r="AG25" s="45"/>
      <c r="AH25" s="45"/>
    </row>
    <row r="26" spans="1:34" ht="22.95" customHeight="1" x14ac:dyDescent="0.3">
      <c r="A26" s="48"/>
      <c r="B26" s="38"/>
      <c r="C26" s="39"/>
      <c r="D26" s="45"/>
      <c r="E26" s="45"/>
      <c r="F26" s="45"/>
      <c r="G26" s="45"/>
      <c r="H26" s="46"/>
      <c r="I26" s="46"/>
      <c r="J26" s="45"/>
      <c r="K26" s="45"/>
      <c r="L26" s="45"/>
      <c r="M26" s="45"/>
      <c r="N26" s="45"/>
      <c r="O26" s="46"/>
      <c r="P26" s="47"/>
      <c r="Q26" s="45"/>
      <c r="R26" s="45"/>
      <c r="S26" s="45"/>
      <c r="T26" s="45"/>
      <c r="U26" s="45"/>
      <c r="V26" s="46"/>
      <c r="W26" s="46"/>
      <c r="X26" s="45"/>
      <c r="Y26" s="45"/>
      <c r="Z26" s="45"/>
      <c r="AA26" s="45"/>
      <c r="AB26" s="46"/>
      <c r="AC26" s="46"/>
      <c r="AD26" s="46"/>
      <c r="AE26" s="45"/>
      <c r="AF26" s="45"/>
      <c r="AG26" s="45"/>
      <c r="AH26" s="45"/>
    </row>
    <row r="27" spans="1:34" ht="22.95" customHeight="1" x14ac:dyDescent="0.3">
      <c r="A27" s="50"/>
      <c r="B27" s="38"/>
      <c r="C27" s="39"/>
      <c r="D27" s="45"/>
      <c r="E27" s="45"/>
      <c r="F27" s="45"/>
      <c r="G27" s="45"/>
      <c r="H27" s="46"/>
      <c r="I27" s="46"/>
      <c r="J27" s="45"/>
      <c r="K27" s="45"/>
      <c r="L27" s="45"/>
      <c r="M27" s="45"/>
      <c r="N27" s="45"/>
      <c r="O27" s="46"/>
      <c r="P27" s="47"/>
      <c r="Q27" s="45"/>
      <c r="R27" s="45"/>
      <c r="S27" s="45"/>
      <c r="T27" s="45"/>
      <c r="U27" s="45"/>
      <c r="V27" s="46"/>
      <c r="W27" s="46"/>
      <c r="X27" s="45"/>
      <c r="Y27" s="45"/>
      <c r="Z27" s="45"/>
      <c r="AA27" s="45"/>
      <c r="AB27" s="46"/>
      <c r="AC27" s="46"/>
      <c r="AD27" s="46"/>
      <c r="AE27" s="45"/>
      <c r="AF27" s="45"/>
      <c r="AG27" s="45"/>
      <c r="AH27" s="45"/>
    </row>
    <row r="28" spans="1:34" ht="22.95" customHeight="1" x14ac:dyDescent="0.3">
      <c r="A28" s="49"/>
      <c r="B28" s="38"/>
      <c r="C28" s="39"/>
      <c r="D28" s="45"/>
      <c r="E28" s="45"/>
      <c r="F28" s="45"/>
      <c r="G28" s="45"/>
      <c r="H28" s="46"/>
      <c r="I28" s="46"/>
      <c r="J28" s="45"/>
      <c r="K28" s="45"/>
      <c r="L28" s="45"/>
      <c r="M28" s="45"/>
      <c r="N28" s="45"/>
      <c r="O28" s="46"/>
      <c r="P28" s="47"/>
      <c r="Q28" s="45"/>
      <c r="R28" s="45"/>
      <c r="S28" s="45"/>
      <c r="T28" s="45"/>
      <c r="U28" s="45"/>
      <c r="V28" s="46"/>
      <c r="W28" s="46"/>
      <c r="X28" s="45"/>
      <c r="Y28" s="45"/>
      <c r="Z28" s="45"/>
      <c r="AA28" s="45"/>
      <c r="AB28" s="46"/>
      <c r="AC28" s="46"/>
      <c r="AD28" s="46"/>
      <c r="AE28" s="45"/>
      <c r="AF28" s="45"/>
      <c r="AG28" s="45"/>
      <c r="AH28" s="45"/>
    </row>
    <row r="29" spans="1:34" ht="22.95" customHeight="1" x14ac:dyDescent="0.3">
      <c r="A29" s="37"/>
      <c r="B29" s="38"/>
      <c r="C29" s="39"/>
      <c r="D29" s="45"/>
      <c r="E29" s="45"/>
      <c r="F29" s="45"/>
      <c r="G29" s="45"/>
      <c r="H29" s="46"/>
      <c r="I29" s="46"/>
      <c r="J29" s="45"/>
      <c r="K29" s="45"/>
      <c r="L29" s="45"/>
      <c r="M29" s="45"/>
      <c r="N29" s="45"/>
      <c r="O29" s="46"/>
      <c r="P29" s="47"/>
      <c r="Q29" s="45"/>
      <c r="R29" s="45"/>
      <c r="S29" s="45"/>
      <c r="T29" s="45"/>
      <c r="U29" s="45"/>
      <c r="V29" s="46"/>
      <c r="W29" s="46"/>
      <c r="X29" s="45"/>
      <c r="Y29" s="45"/>
      <c r="Z29" s="45"/>
      <c r="AA29" s="45"/>
      <c r="AB29" s="46"/>
      <c r="AC29" s="46"/>
      <c r="AD29" s="46"/>
      <c r="AE29" s="45"/>
      <c r="AF29" s="45"/>
      <c r="AG29" s="45"/>
      <c r="AH29" s="45"/>
    </row>
    <row r="30" spans="1:34" ht="22.95" customHeight="1" x14ac:dyDescent="0.3">
      <c r="A30" s="44"/>
      <c r="B30" s="38"/>
      <c r="C30" s="39"/>
      <c r="D30" s="45"/>
      <c r="E30" s="45"/>
      <c r="F30" s="45"/>
      <c r="G30" s="45"/>
      <c r="H30" s="46"/>
      <c r="I30" s="46"/>
      <c r="J30" s="45"/>
      <c r="K30" s="45"/>
      <c r="L30" s="45"/>
      <c r="M30" s="45"/>
      <c r="N30" s="45"/>
      <c r="O30" s="46"/>
      <c r="P30" s="47"/>
      <c r="Q30" s="45"/>
      <c r="R30" s="45"/>
      <c r="S30" s="45"/>
      <c r="T30" s="45"/>
      <c r="U30" s="45"/>
      <c r="V30" s="46"/>
      <c r="W30" s="46"/>
      <c r="X30" s="45"/>
      <c r="Y30" s="45"/>
      <c r="Z30" s="45"/>
      <c r="AA30" s="45"/>
      <c r="AB30" s="46"/>
      <c r="AC30" s="46"/>
      <c r="AD30" s="46"/>
      <c r="AE30" s="45"/>
      <c r="AF30" s="45"/>
      <c r="AG30" s="45"/>
      <c r="AH30" s="45"/>
    </row>
    <row r="31" spans="1:34" ht="22.95" customHeight="1" x14ac:dyDescent="0.3">
      <c r="A31" s="48"/>
      <c r="B31" s="38"/>
      <c r="C31" s="39"/>
      <c r="D31" s="45"/>
      <c r="E31" s="45"/>
      <c r="F31" s="45"/>
      <c r="G31" s="45"/>
      <c r="H31" s="46"/>
      <c r="I31" s="46"/>
      <c r="J31" s="45"/>
      <c r="K31" s="45"/>
      <c r="L31" s="45"/>
      <c r="M31" s="45"/>
      <c r="N31" s="45"/>
      <c r="O31" s="46"/>
      <c r="P31" s="47"/>
      <c r="Q31" s="45"/>
      <c r="R31" s="45"/>
      <c r="S31" s="45"/>
      <c r="T31" s="45"/>
      <c r="U31" s="45"/>
      <c r="V31" s="46"/>
      <c r="W31" s="46"/>
      <c r="X31" s="45"/>
      <c r="Y31" s="45"/>
      <c r="Z31" s="45"/>
      <c r="AA31" s="45"/>
      <c r="AB31" s="46"/>
      <c r="AC31" s="46"/>
      <c r="AD31" s="46"/>
      <c r="AE31" s="45"/>
      <c r="AF31" s="45"/>
      <c r="AG31" s="45"/>
      <c r="AH31" s="45"/>
    </row>
    <row r="32" spans="1:34" ht="22.95" customHeight="1" x14ac:dyDescent="0.3">
      <c r="A32" s="50"/>
      <c r="B32" s="38"/>
      <c r="C32" s="39"/>
      <c r="D32" s="45"/>
      <c r="E32" s="45"/>
      <c r="F32" s="45"/>
      <c r="G32" s="45"/>
      <c r="H32" s="46"/>
      <c r="I32" s="46"/>
      <c r="J32" s="45"/>
      <c r="K32" s="45"/>
      <c r="L32" s="45"/>
      <c r="M32" s="45"/>
      <c r="N32" s="45"/>
      <c r="O32" s="46"/>
      <c r="P32" s="47"/>
      <c r="Q32" s="45"/>
      <c r="R32" s="45"/>
      <c r="S32" s="45"/>
      <c r="T32" s="45"/>
      <c r="U32" s="45"/>
      <c r="V32" s="46"/>
      <c r="W32" s="46"/>
      <c r="X32" s="45"/>
      <c r="Y32" s="45"/>
      <c r="Z32" s="45"/>
      <c r="AA32" s="45"/>
      <c r="AB32" s="46"/>
      <c r="AC32" s="46"/>
      <c r="AD32" s="46"/>
      <c r="AE32" s="45"/>
      <c r="AF32" s="45"/>
      <c r="AG32" s="45"/>
      <c r="AH32" s="45"/>
    </row>
    <row r="33" spans="1:34" ht="22.95" customHeight="1" x14ac:dyDescent="0.3">
      <c r="A33" s="49"/>
      <c r="B33" s="38"/>
      <c r="C33" s="39"/>
      <c r="D33" s="45"/>
      <c r="E33" s="45"/>
      <c r="F33" s="45"/>
      <c r="G33" s="45"/>
      <c r="H33" s="46"/>
      <c r="I33" s="46"/>
      <c r="J33" s="45"/>
      <c r="K33" s="45"/>
      <c r="L33" s="45"/>
      <c r="M33" s="45"/>
      <c r="N33" s="45"/>
      <c r="O33" s="46"/>
      <c r="P33" s="47"/>
      <c r="Q33" s="45"/>
      <c r="R33" s="45"/>
      <c r="S33" s="45"/>
      <c r="T33" s="45"/>
      <c r="U33" s="45"/>
      <c r="V33" s="46"/>
      <c r="W33" s="46"/>
      <c r="X33" s="45"/>
      <c r="Y33" s="45"/>
      <c r="Z33" s="45"/>
      <c r="AA33" s="45"/>
      <c r="AB33" s="46"/>
      <c r="AC33" s="46"/>
      <c r="AD33" s="46"/>
      <c r="AE33" s="45"/>
      <c r="AF33" s="45"/>
      <c r="AG33" s="45"/>
      <c r="AH33" s="45"/>
    </row>
    <row r="34" spans="1:34" ht="22.95" customHeight="1" x14ac:dyDescent="0.3">
      <c r="A34" s="37"/>
      <c r="B34" s="38"/>
      <c r="C34" s="39"/>
      <c r="D34" s="40" t="str">
        <f t="shared" ref="D34:AH34" si="3">IF(WEEKDAY(D$3)=2,_xlfn.ISOWEEKNUM(D$3),"")</f>
        <v/>
      </c>
      <c r="E34" s="40" t="str">
        <f t="shared" si="3"/>
        <v/>
      </c>
      <c r="F34" s="40" t="str">
        <f t="shared" si="3"/>
        <v/>
      </c>
      <c r="G34" s="40" t="str">
        <f t="shared" si="3"/>
        <v/>
      </c>
      <c r="H34" s="41" t="str">
        <f t="shared" si="3"/>
        <v/>
      </c>
      <c r="I34" s="41" t="str">
        <f t="shared" si="3"/>
        <v/>
      </c>
      <c r="J34" s="40">
        <f t="shared" si="3"/>
        <v>50</v>
      </c>
      <c r="K34" s="40" t="str">
        <f t="shared" si="3"/>
        <v/>
      </c>
      <c r="L34" s="40" t="str">
        <f t="shared" si="3"/>
        <v/>
      </c>
      <c r="M34" s="40" t="str">
        <f t="shared" si="3"/>
        <v/>
      </c>
      <c r="N34" s="40" t="str">
        <f t="shared" si="3"/>
        <v/>
      </c>
      <c r="O34" s="41" t="str">
        <f t="shared" si="3"/>
        <v/>
      </c>
      <c r="P34" s="42" t="str">
        <f t="shared" si="3"/>
        <v/>
      </c>
      <c r="Q34" s="40">
        <f t="shared" si="3"/>
        <v>51</v>
      </c>
      <c r="R34" s="40" t="str">
        <f t="shared" si="3"/>
        <v/>
      </c>
      <c r="S34" s="40" t="str">
        <f t="shared" si="3"/>
        <v/>
      </c>
      <c r="T34" s="40" t="str">
        <f t="shared" si="3"/>
        <v/>
      </c>
      <c r="U34" s="40" t="str">
        <f t="shared" si="3"/>
        <v/>
      </c>
      <c r="V34" s="41" t="str">
        <f t="shared" si="3"/>
        <v/>
      </c>
      <c r="W34" s="41" t="str">
        <f t="shared" si="3"/>
        <v/>
      </c>
      <c r="X34" s="40">
        <f t="shared" si="3"/>
        <v>52</v>
      </c>
      <c r="Y34" s="40" t="str">
        <f t="shared" si="3"/>
        <v/>
      </c>
      <c r="Z34" s="40" t="str">
        <f t="shared" si="3"/>
        <v/>
      </c>
      <c r="AA34" s="40" t="str">
        <f t="shared" si="3"/>
        <v/>
      </c>
      <c r="AB34" s="41" t="str">
        <f t="shared" si="3"/>
        <v/>
      </c>
      <c r="AC34" s="41" t="str">
        <f t="shared" si="3"/>
        <v/>
      </c>
      <c r="AD34" s="41" t="str">
        <f t="shared" si="3"/>
        <v/>
      </c>
      <c r="AE34" s="40">
        <f t="shared" si="3"/>
        <v>53</v>
      </c>
      <c r="AF34" s="40" t="str">
        <f t="shared" si="3"/>
        <v/>
      </c>
      <c r="AG34" s="40" t="str">
        <f t="shared" si="3"/>
        <v/>
      </c>
      <c r="AH34" s="40" t="str">
        <f t="shared" si="3"/>
        <v/>
      </c>
    </row>
    <row r="35" spans="1:34" ht="22.95" customHeight="1" x14ac:dyDescent="0.3">
      <c r="A35" s="44"/>
      <c r="B35" s="38"/>
      <c r="C35" s="39"/>
      <c r="D35" s="45"/>
      <c r="E35" s="45"/>
      <c r="F35" s="45"/>
      <c r="G35" s="45"/>
      <c r="H35" s="46"/>
      <c r="I35" s="46"/>
      <c r="J35" s="45"/>
      <c r="K35" s="45"/>
      <c r="L35" s="45"/>
      <c r="M35" s="45"/>
      <c r="N35" s="45"/>
      <c r="O35" s="46"/>
      <c r="P35" s="47"/>
      <c r="Q35" s="45"/>
      <c r="R35" s="45"/>
      <c r="S35" s="45"/>
      <c r="T35" s="45"/>
      <c r="U35" s="45"/>
      <c r="V35" s="46"/>
      <c r="W35" s="46"/>
      <c r="X35" s="45"/>
      <c r="Y35" s="45"/>
      <c r="Z35" s="45"/>
      <c r="AA35" s="45"/>
      <c r="AB35" s="46"/>
      <c r="AC35" s="46"/>
      <c r="AD35" s="46"/>
      <c r="AE35" s="45"/>
      <c r="AF35" s="45"/>
      <c r="AG35" s="45"/>
      <c r="AH35" s="45"/>
    </row>
    <row r="36" spans="1:34" ht="22.95" customHeight="1" x14ac:dyDescent="0.3">
      <c r="A36" s="48"/>
      <c r="B36" s="38"/>
      <c r="C36" s="39"/>
      <c r="D36" s="45"/>
      <c r="E36" s="45"/>
      <c r="F36" s="45"/>
      <c r="G36" s="45"/>
      <c r="H36" s="46"/>
      <c r="I36" s="46"/>
      <c r="J36" s="45"/>
      <c r="K36" s="45"/>
      <c r="L36" s="45"/>
      <c r="M36" s="45"/>
      <c r="N36" s="45"/>
      <c r="O36" s="46"/>
      <c r="P36" s="47"/>
      <c r="Q36" s="45"/>
      <c r="R36" s="45"/>
      <c r="S36" s="45"/>
      <c r="T36" s="45"/>
      <c r="U36" s="45"/>
      <c r="V36" s="46"/>
      <c r="W36" s="46"/>
      <c r="X36" s="45"/>
      <c r="Y36" s="45"/>
      <c r="Z36" s="45"/>
      <c r="AA36" s="45"/>
      <c r="AB36" s="46"/>
      <c r="AC36" s="46"/>
      <c r="AD36" s="46"/>
      <c r="AE36" s="45"/>
      <c r="AF36" s="45"/>
      <c r="AG36" s="45"/>
      <c r="AH36" s="45"/>
    </row>
    <row r="37" spans="1:34" ht="22.95" customHeight="1" x14ac:dyDescent="0.3">
      <c r="A37" s="50"/>
      <c r="B37" s="38"/>
      <c r="C37" s="39"/>
      <c r="D37" s="45"/>
      <c r="E37" s="45"/>
      <c r="F37" s="45"/>
      <c r="G37" s="45"/>
      <c r="H37" s="46"/>
      <c r="I37" s="46"/>
      <c r="J37" s="45"/>
      <c r="K37" s="45"/>
      <c r="L37" s="45"/>
      <c r="M37" s="45"/>
      <c r="N37" s="45"/>
      <c r="O37" s="46"/>
      <c r="P37" s="47"/>
      <c r="Q37" s="45"/>
      <c r="R37" s="45"/>
      <c r="S37" s="45"/>
      <c r="T37" s="45"/>
      <c r="U37" s="45"/>
      <c r="V37" s="46"/>
      <c r="W37" s="46"/>
      <c r="X37" s="45"/>
      <c r="Y37" s="45"/>
      <c r="Z37" s="45"/>
      <c r="AA37" s="45"/>
      <c r="AB37" s="46"/>
      <c r="AC37" s="46"/>
      <c r="AD37" s="46"/>
      <c r="AE37" s="45"/>
      <c r="AF37" s="45"/>
      <c r="AG37" s="45"/>
      <c r="AH37" s="45"/>
    </row>
    <row r="38" spans="1:34" ht="22.95" customHeight="1" x14ac:dyDescent="0.3">
      <c r="A38" s="49"/>
      <c r="B38" s="38"/>
      <c r="C38" s="39"/>
      <c r="D38" s="45"/>
      <c r="E38" s="45"/>
      <c r="F38" s="45"/>
      <c r="G38" s="45"/>
      <c r="H38" s="46"/>
      <c r="I38" s="46"/>
      <c r="J38" s="45"/>
      <c r="K38" s="45"/>
      <c r="L38" s="45"/>
      <c r="M38" s="45"/>
      <c r="N38" s="45"/>
      <c r="O38" s="46"/>
      <c r="P38" s="47"/>
      <c r="Q38" s="45"/>
      <c r="R38" s="45"/>
      <c r="S38" s="45"/>
      <c r="T38" s="45"/>
      <c r="U38" s="45"/>
      <c r="V38" s="46"/>
      <c r="W38" s="46"/>
      <c r="X38" s="45"/>
      <c r="Y38" s="45"/>
      <c r="Z38" s="45"/>
      <c r="AA38" s="45"/>
      <c r="AB38" s="46"/>
      <c r="AC38" s="46"/>
      <c r="AD38" s="46"/>
      <c r="AE38" s="45"/>
      <c r="AF38" s="45"/>
      <c r="AG38" s="45"/>
      <c r="AH38" s="45"/>
    </row>
    <row r="39" spans="1:34" ht="22.95" customHeight="1" x14ac:dyDescent="0.3">
      <c r="A39" s="37"/>
      <c r="B39" s="38"/>
      <c r="C39" s="39"/>
      <c r="D39" s="45"/>
      <c r="E39" s="45"/>
      <c r="F39" s="45"/>
      <c r="G39" s="45"/>
      <c r="H39" s="46"/>
      <c r="I39" s="46"/>
      <c r="J39" s="45"/>
      <c r="K39" s="45"/>
      <c r="L39" s="45"/>
      <c r="M39" s="45"/>
      <c r="N39" s="45"/>
      <c r="O39" s="46"/>
      <c r="P39" s="47"/>
      <c r="Q39" s="45"/>
      <c r="R39" s="45"/>
      <c r="S39" s="45"/>
      <c r="T39" s="45"/>
      <c r="U39" s="45"/>
      <c r="V39" s="46"/>
      <c r="W39" s="46"/>
      <c r="X39" s="45"/>
      <c r="Y39" s="45"/>
      <c r="Z39" s="45"/>
      <c r="AA39" s="45"/>
      <c r="AB39" s="46"/>
      <c r="AC39" s="46"/>
      <c r="AD39" s="46"/>
      <c r="AE39" s="45"/>
      <c r="AF39" s="45"/>
      <c r="AG39" s="45"/>
      <c r="AH39" s="45"/>
    </row>
    <row r="40" spans="1:34" ht="22.95" customHeight="1" x14ac:dyDescent="0.3">
      <c r="A40" s="44"/>
      <c r="B40" s="38"/>
      <c r="C40" s="39"/>
      <c r="D40" s="45"/>
      <c r="E40" s="45"/>
      <c r="F40" s="45"/>
      <c r="G40" s="45"/>
      <c r="H40" s="46"/>
      <c r="I40" s="46"/>
      <c r="J40" s="45"/>
      <c r="K40" s="45"/>
      <c r="L40" s="45"/>
      <c r="M40" s="45"/>
      <c r="N40" s="45"/>
      <c r="O40" s="46"/>
      <c r="P40" s="47"/>
      <c r="Q40" s="45"/>
      <c r="R40" s="45"/>
      <c r="S40" s="45"/>
      <c r="T40" s="45"/>
      <c r="U40" s="45"/>
      <c r="V40" s="46"/>
      <c r="W40" s="46"/>
      <c r="X40" s="45"/>
      <c r="Y40" s="45"/>
      <c r="Z40" s="45"/>
      <c r="AA40" s="45"/>
      <c r="AB40" s="46"/>
      <c r="AC40" s="46"/>
      <c r="AD40" s="46"/>
      <c r="AE40" s="45"/>
      <c r="AF40" s="45"/>
      <c r="AG40" s="45"/>
      <c r="AH40" s="45"/>
    </row>
    <row r="41" spans="1:34" ht="22.95" customHeight="1" x14ac:dyDescent="0.3">
      <c r="A41" s="48"/>
      <c r="B41" s="38"/>
      <c r="C41" s="39"/>
      <c r="D41" s="45"/>
      <c r="E41" s="45"/>
      <c r="F41" s="45"/>
      <c r="G41" s="45"/>
      <c r="H41" s="46"/>
      <c r="I41" s="46"/>
      <c r="J41" s="45"/>
      <c r="K41" s="45"/>
      <c r="L41" s="45"/>
      <c r="M41" s="45"/>
      <c r="N41" s="45"/>
      <c r="O41" s="46"/>
      <c r="P41" s="47"/>
      <c r="Q41" s="45"/>
      <c r="R41" s="45"/>
      <c r="S41" s="45"/>
      <c r="T41" s="45"/>
      <c r="U41" s="45"/>
      <c r="V41" s="46"/>
      <c r="W41" s="46"/>
      <c r="X41" s="45"/>
      <c r="Y41" s="45"/>
      <c r="Z41" s="45"/>
      <c r="AA41" s="45"/>
      <c r="AB41" s="46"/>
      <c r="AC41" s="46"/>
      <c r="AD41" s="46"/>
      <c r="AE41" s="45"/>
      <c r="AF41" s="45"/>
      <c r="AG41" s="45"/>
      <c r="AH41" s="45"/>
    </row>
    <row r="42" spans="1:34" ht="22.95" customHeight="1" x14ac:dyDescent="0.3">
      <c r="A42" s="50"/>
      <c r="B42" s="38"/>
      <c r="C42" s="39"/>
      <c r="D42" s="45"/>
      <c r="E42" s="45"/>
      <c r="F42" s="45"/>
      <c r="G42" s="45"/>
      <c r="H42" s="46"/>
      <c r="I42" s="46"/>
      <c r="J42" s="45"/>
      <c r="K42" s="45"/>
      <c r="L42" s="45"/>
      <c r="M42" s="45"/>
      <c r="N42" s="45"/>
      <c r="O42" s="46"/>
      <c r="P42" s="47"/>
      <c r="Q42" s="45"/>
      <c r="R42" s="45"/>
      <c r="S42" s="45"/>
      <c r="T42" s="45"/>
      <c r="U42" s="45"/>
      <c r="V42" s="46"/>
      <c r="W42" s="46"/>
      <c r="X42" s="45"/>
      <c r="Y42" s="45"/>
      <c r="Z42" s="45"/>
      <c r="AA42" s="45"/>
      <c r="AB42" s="46"/>
      <c r="AC42" s="46"/>
      <c r="AD42" s="46"/>
      <c r="AE42" s="45"/>
      <c r="AF42" s="45"/>
      <c r="AG42" s="45"/>
      <c r="AH42" s="45"/>
    </row>
    <row r="43" spans="1:34" ht="22.95" customHeight="1" x14ac:dyDescent="0.3">
      <c r="A43" s="49"/>
      <c r="B43" s="38"/>
      <c r="C43" s="39"/>
      <c r="D43" s="45"/>
      <c r="E43" s="45"/>
      <c r="F43" s="45"/>
      <c r="G43" s="45"/>
      <c r="H43" s="46"/>
      <c r="I43" s="46"/>
      <c r="J43" s="45"/>
      <c r="K43" s="45"/>
      <c r="L43" s="45"/>
      <c r="M43" s="45"/>
      <c r="N43" s="45"/>
      <c r="O43" s="46"/>
      <c r="P43" s="47"/>
      <c r="Q43" s="45"/>
      <c r="R43" s="45"/>
      <c r="S43" s="45"/>
      <c r="T43" s="45"/>
      <c r="U43" s="45"/>
      <c r="V43" s="46"/>
      <c r="W43" s="46"/>
      <c r="X43" s="45"/>
      <c r="Y43" s="45"/>
      <c r="Z43" s="45"/>
      <c r="AA43" s="45"/>
      <c r="AB43" s="46"/>
      <c r="AC43" s="46"/>
      <c r="AD43" s="46"/>
      <c r="AE43" s="45"/>
      <c r="AF43" s="45"/>
      <c r="AG43" s="45"/>
      <c r="AH43" s="45"/>
    </row>
    <row r="44" spans="1:34" ht="22.95" customHeight="1" x14ac:dyDescent="0.3">
      <c r="A44" s="37"/>
      <c r="B44" s="38"/>
      <c r="C44" s="39"/>
      <c r="D44" s="40" t="str">
        <f t="shared" ref="D44:AH44" si="4">IF(WEEKDAY(D$3)=2,_xlfn.ISOWEEKNUM(D$3),"")</f>
        <v/>
      </c>
      <c r="E44" s="40" t="str">
        <f t="shared" si="4"/>
        <v/>
      </c>
      <c r="F44" s="40" t="str">
        <f t="shared" si="4"/>
        <v/>
      </c>
      <c r="G44" s="40" t="str">
        <f t="shared" si="4"/>
        <v/>
      </c>
      <c r="H44" s="41" t="str">
        <f t="shared" si="4"/>
        <v/>
      </c>
      <c r="I44" s="41" t="str">
        <f t="shared" si="4"/>
        <v/>
      </c>
      <c r="J44" s="40">
        <f t="shared" si="4"/>
        <v>50</v>
      </c>
      <c r="K44" s="40" t="str">
        <f t="shared" si="4"/>
        <v/>
      </c>
      <c r="L44" s="40" t="str">
        <f t="shared" si="4"/>
        <v/>
      </c>
      <c r="M44" s="40" t="str">
        <f t="shared" si="4"/>
        <v/>
      </c>
      <c r="N44" s="40" t="str">
        <f t="shared" si="4"/>
        <v/>
      </c>
      <c r="O44" s="41" t="str">
        <f t="shared" si="4"/>
        <v/>
      </c>
      <c r="P44" s="42" t="str">
        <f t="shared" si="4"/>
        <v/>
      </c>
      <c r="Q44" s="40">
        <f t="shared" si="4"/>
        <v>51</v>
      </c>
      <c r="R44" s="40" t="str">
        <f t="shared" si="4"/>
        <v/>
      </c>
      <c r="S44" s="40" t="str">
        <f t="shared" si="4"/>
        <v/>
      </c>
      <c r="T44" s="40" t="str">
        <f t="shared" si="4"/>
        <v/>
      </c>
      <c r="U44" s="40" t="str">
        <f t="shared" si="4"/>
        <v/>
      </c>
      <c r="V44" s="41" t="str">
        <f t="shared" si="4"/>
        <v/>
      </c>
      <c r="W44" s="41" t="str">
        <f t="shared" si="4"/>
        <v/>
      </c>
      <c r="X44" s="40">
        <f t="shared" si="4"/>
        <v>52</v>
      </c>
      <c r="Y44" s="40" t="str">
        <f t="shared" si="4"/>
        <v/>
      </c>
      <c r="Z44" s="40" t="str">
        <f t="shared" si="4"/>
        <v/>
      </c>
      <c r="AA44" s="40" t="str">
        <f t="shared" si="4"/>
        <v/>
      </c>
      <c r="AB44" s="41" t="str">
        <f t="shared" si="4"/>
        <v/>
      </c>
      <c r="AC44" s="41" t="str">
        <f t="shared" si="4"/>
        <v/>
      </c>
      <c r="AD44" s="41" t="str">
        <f t="shared" si="4"/>
        <v/>
      </c>
      <c r="AE44" s="40">
        <f t="shared" si="4"/>
        <v>53</v>
      </c>
      <c r="AF44" s="40" t="str">
        <f t="shared" si="4"/>
        <v/>
      </c>
      <c r="AG44" s="40" t="str">
        <f t="shared" si="4"/>
        <v/>
      </c>
      <c r="AH44" s="40" t="str">
        <f t="shared" si="4"/>
        <v/>
      </c>
    </row>
    <row r="45" spans="1:34" ht="22.95" customHeight="1" x14ac:dyDescent="0.3">
      <c r="A45" s="44"/>
      <c r="B45" s="38"/>
      <c r="C45" s="39"/>
      <c r="D45" s="45"/>
      <c r="E45" s="45"/>
      <c r="F45" s="45"/>
      <c r="G45" s="45"/>
      <c r="H45" s="46"/>
      <c r="I45" s="46"/>
      <c r="J45" s="45"/>
      <c r="K45" s="45"/>
      <c r="L45" s="45"/>
      <c r="M45" s="45"/>
      <c r="N45" s="45"/>
      <c r="O45" s="46"/>
      <c r="P45" s="47"/>
      <c r="Q45" s="45"/>
      <c r="R45" s="45"/>
      <c r="S45" s="45"/>
      <c r="T45" s="45"/>
      <c r="U45" s="45"/>
      <c r="V45" s="46"/>
      <c r="W45" s="46"/>
      <c r="X45" s="45"/>
      <c r="Y45" s="45"/>
      <c r="Z45" s="45"/>
      <c r="AA45" s="45"/>
      <c r="AB45" s="46"/>
      <c r="AC45" s="46"/>
      <c r="AD45" s="46"/>
      <c r="AE45" s="45"/>
      <c r="AF45" s="45"/>
      <c r="AG45" s="45"/>
      <c r="AH45" s="45"/>
    </row>
    <row r="46" spans="1:34" ht="22.95" customHeight="1" x14ac:dyDescent="0.3">
      <c r="A46" s="48"/>
      <c r="B46" s="38"/>
      <c r="C46" s="39"/>
      <c r="D46" s="45"/>
      <c r="E46" s="45"/>
      <c r="F46" s="45"/>
      <c r="G46" s="45"/>
      <c r="H46" s="46"/>
      <c r="I46" s="46"/>
      <c r="J46" s="45"/>
      <c r="K46" s="45"/>
      <c r="L46" s="45"/>
      <c r="M46" s="45"/>
      <c r="N46" s="45"/>
      <c r="O46" s="46"/>
      <c r="P46" s="47"/>
      <c r="Q46" s="45"/>
      <c r="R46" s="45"/>
      <c r="S46" s="45"/>
      <c r="T46" s="45"/>
      <c r="U46" s="45"/>
      <c r="V46" s="46"/>
      <c r="W46" s="46"/>
      <c r="X46" s="45"/>
      <c r="Y46" s="45"/>
      <c r="Z46" s="45"/>
      <c r="AA46" s="45"/>
      <c r="AB46" s="46"/>
      <c r="AC46" s="46"/>
      <c r="AD46" s="46"/>
      <c r="AE46" s="45"/>
      <c r="AF46" s="45"/>
      <c r="AG46" s="45"/>
      <c r="AH46" s="45"/>
    </row>
    <row r="47" spans="1:34" ht="22.95" customHeight="1" x14ac:dyDescent="0.3">
      <c r="A47" s="50"/>
      <c r="B47" s="38"/>
      <c r="C47" s="39"/>
      <c r="D47" s="45"/>
      <c r="E47" s="45"/>
      <c r="F47" s="45"/>
      <c r="G47" s="45"/>
      <c r="H47" s="46"/>
      <c r="I47" s="46"/>
      <c r="J47" s="45"/>
      <c r="K47" s="45"/>
      <c r="L47" s="45"/>
      <c r="M47" s="45"/>
      <c r="N47" s="45"/>
      <c r="O47" s="46"/>
      <c r="P47" s="47"/>
      <c r="Q47" s="45"/>
      <c r="R47" s="45"/>
      <c r="S47" s="45"/>
      <c r="T47" s="45"/>
      <c r="U47" s="45"/>
      <c r="V47" s="46"/>
      <c r="W47" s="46"/>
      <c r="X47" s="45"/>
      <c r="Y47" s="45"/>
      <c r="Z47" s="45"/>
      <c r="AA47" s="45"/>
      <c r="AB47" s="46"/>
      <c r="AC47" s="46"/>
      <c r="AD47" s="46"/>
      <c r="AE47" s="45"/>
      <c r="AF47" s="45"/>
      <c r="AG47" s="45"/>
      <c r="AH47" s="45"/>
    </row>
    <row r="48" spans="1:34" ht="22.95" customHeight="1" x14ac:dyDescent="0.3">
      <c r="A48" s="49"/>
      <c r="B48" s="38"/>
      <c r="C48" s="39"/>
      <c r="D48" s="45"/>
      <c r="E48" s="45"/>
      <c r="F48" s="45"/>
      <c r="G48" s="45"/>
      <c r="H48" s="46"/>
      <c r="I48" s="46"/>
      <c r="J48" s="45"/>
      <c r="K48" s="45"/>
      <c r="L48" s="45"/>
      <c r="M48" s="45"/>
      <c r="N48" s="45"/>
      <c r="O48" s="46"/>
      <c r="P48" s="47"/>
      <c r="Q48" s="45"/>
      <c r="R48" s="45"/>
      <c r="S48" s="45"/>
      <c r="T48" s="45"/>
      <c r="U48" s="45"/>
      <c r="V48" s="46"/>
      <c r="W48" s="46"/>
      <c r="X48" s="45"/>
      <c r="Y48" s="45"/>
      <c r="Z48" s="45"/>
      <c r="AA48" s="45"/>
      <c r="AB48" s="46"/>
      <c r="AC48" s="46"/>
      <c r="AD48" s="46"/>
      <c r="AE48" s="45"/>
      <c r="AF48" s="45"/>
      <c r="AG48" s="45"/>
      <c r="AH48" s="45"/>
    </row>
    <row r="49" spans="1:34" ht="22.95" customHeight="1" x14ac:dyDescent="0.3">
      <c r="A49" s="37"/>
      <c r="B49" s="38"/>
      <c r="C49" s="39"/>
      <c r="D49" s="45"/>
      <c r="E49" s="45"/>
      <c r="F49" s="45"/>
      <c r="G49" s="45"/>
      <c r="H49" s="46"/>
      <c r="I49" s="46"/>
      <c r="J49" s="45"/>
      <c r="K49" s="45"/>
      <c r="L49" s="45"/>
      <c r="M49" s="45"/>
      <c r="N49" s="45"/>
      <c r="O49" s="46"/>
      <c r="P49" s="47"/>
      <c r="Q49" s="45"/>
      <c r="R49" s="45"/>
      <c r="S49" s="45"/>
      <c r="T49" s="45"/>
      <c r="U49" s="45"/>
      <c r="V49" s="46"/>
      <c r="W49" s="46"/>
      <c r="X49" s="45"/>
      <c r="Y49" s="45"/>
      <c r="Z49" s="45"/>
      <c r="AA49" s="45"/>
      <c r="AB49" s="46"/>
      <c r="AC49" s="46"/>
      <c r="AD49" s="46"/>
      <c r="AE49" s="45"/>
      <c r="AF49" s="45"/>
      <c r="AG49" s="45"/>
      <c r="AH49" s="45"/>
    </row>
    <row r="50" spans="1:34" ht="22.95" customHeight="1" x14ac:dyDescent="0.3">
      <c r="A50" s="44"/>
      <c r="B50" s="38"/>
      <c r="C50" s="39"/>
      <c r="D50" s="45"/>
      <c r="E50" s="45"/>
      <c r="F50" s="45"/>
      <c r="G50" s="45"/>
      <c r="H50" s="46"/>
      <c r="I50" s="46"/>
      <c r="J50" s="45"/>
      <c r="K50" s="45"/>
      <c r="L50" s="45"/>
      <c r="M50" s="45"/>
      <c r="N50" s="45"/>
      <c r="O50" s="46"/>
      <c r="P50" s="47"/>
      <c r="Q50" s="45"/>
      <c r="R50" s="45"/>
      <c r="S50" s="45"/>
      <c r="T50" s="45"/>
      <c r="U50" s="45"/>
      <c r="V50" s="46"/>
      <c r="W50" s="46"/>
      <c r="X50" s="45"/>
      <c r="Y50" s="45"/>
      <c r="Z50" s="45"/>
      <c r="AA50" s="45"/>
      <c r="AB50" s="46"/>
      <c r="AC50" s="46"/>
      <c r="AD50" s="46"/>
      <c r="AE50" s="45"/>
      <c r="AF50" s="45"/>
      <c r="AG50" s="45"/>
      <c r="AH50" s="45"/>
    </row>
    <row r="51" spans="1:34" ht="22.95" customHeight="1" x14ac:dyDescent="0.3">
      <c r="A51" s="48"/>
      <c r="B51" s="38"/>
      <c r="C51" s="39"/>
      <c r="D51" s="45"/>
      <c r="E51" s="45"/>
      <c r="F51" s="45"/>
      <c r="G51" s="45"/>
      <c r="H51" s="46"/>
      <c r="I51" s="46"/>
      <c r="J51" s="45"/>
      <c r="K51" s="45"/>
      <c r="L51" s="45"/>
      <c r="M51" s="45"/>
      <c r="N51" s="45"/>
      <c r="O51" s="46"/>
      <c r="P51" s="47"/>
      <c r="Q51" s="45"/>
      <c r="R51" s="45"/>
      <c r="S51" s="45"/>
      <c r="T51" s="45"/>
      <c r="U51" s="45"/>
      <c r="V51" s="46"/>
      <c r="W51" s="46"/>
      <c r="X51" s="45"/>
      <c r="Y51" s="45"/>
      <c r="Z51" s="45"/>
      <c r="AA51" s="45"/>
      <c r="AB51" s="46"/>
      <c r="AC51" s="46"/>
      <c r="AD51" s="46"/>
      <c r="AE51" s="45"/>
      <c r="AF51" s="45"/>
      <c r="AG51" s="45"/>
      <c r="AH51" s="45"/>
    </row>
    <row r="52" spans="1:34" ht="22.95" customHeight="1" x14ac:dyDescent="0.3">
      <c r="A52" s="50"/>
      <c r="B52" s="38"/>
      <c r="C52" s="39"/>
      <c r="D52" s="45"/>
      <c r="E52" s="45"/>
      <c r="F52" s="45"/>
      <c r="G52" s="45"/>
      <c r="H52" s="46"/>
      <c r="I52" s="46"/>
      <c r="J52" s="45"/>
      <c r="K52" s="45"/>
      <c r="L52" s="45"/>
      <c r="M52" s="45"/>
      <c r="N52" s="45"/>
      <c r="O52" s="46"/>
      <c r="P52" s="47"/>
      <c r="Q52" s="45"/>
      <c r="R52" s="45"/>
      <c r="S52" s="45"/>
      <c r="T52" s="45"/>
      <c r="U52" s="45"/>
      <c r="V52" s="46"/>
      <c r="W52" s="46"/>
      <c r="X52" s="45"/>
      <c r="Y52" s="45"/>
      <c r="Z52" s="45"/>
      <c r="AA52" s="45"/>
      <c r="AB52" s="46"/>
      <c r="AC52" s="46"/>
      <c r="AD52" s="46"/>
      <c r="AE52" s="45"/>
      <c r="AF52" s="45"/>
      <c r="AG52" s="45"/>
      <c r="AH52" s="45"/>
    </row>
    <row r="53" spans="1:34" ht="22.95" customHeight="1" x14ac:dyDescent="0.3">
      <c r="A53" s="49"/>
      <c r="B53" s="38"/>
      <c r="C53" s="39"/>
      <c r="D53" s="45"/>
      <c r="E53" s="45"/>
      <c r="F53" s="45"/>
      <c r="G53" s="45"/>
      <c r="H53" s="46"/>
      <c r="I53" s="46"/>
      <c r="J53" s="45"/>
      <c r="K53" s="45"/>
      <c r="L53" s="45"/>
      <c r="M53" s="45"/>
      <c r="N53" s="45"/>
      <c r="O53" s="46"/>
      <c r="P53" s="47"/>
      <c r="Q53" s="45"/>
      <c r="R53" s="45"/>
      <c r="S53" s="45"/>
      <c r="T53" s="45"/>
      <c r="U53" s="45"/>
      <c r="V53" s="46"/>
      <c r="W53" s="46"/>
      <c r="X53" s="45"/>
      <c r="Y53" s="45"/>
      <c r="Z53" s="45"/>
      <c r="AA53" s="45"/>
      <c r="AB53" s="46"/>
      <c r="AC53" s="46"/>
      <c r="AD53" s="46"/>
      <c r="AE53" s="45"/>
      <c r="AF53" s="45"/>
      <c r="AG53" s="45"/>
      <c r="AH53" s="45"/>
    </row>
    <row r="54" spans="1:34" ht="22.95" customHeight="1" x14ac:dyDescent="0.3">
      <c r="A54" s="37"/>
      <c r="B54" s="38"/>
      <c r="C54" s="39"/>
      <c r="D54" s="40" t="str">
        <f t="shared" ref="D54:AH54" si="5">IF(WEEKDAY(D$3)=2,_xlfn.ISOWEEKNUM(D$3),"")</f>
        <v/>
      </c>
      <c r="E54" s="40" t="str">
        <f t="shared" si="5"/>
        <v/>
      </c>
      <c r="F54" s="40" t="str">
        <f t="shared" si="5"/>
        <v/>
      </c>
      <c r="G54" s="40" t="str">
        <f t="shared" si="5"/>
        <v/>
      </c>
      <c r="H54" s="41" t="str">
        <f t="shared" si="5"/>
        <v/>
      </c>
      <c r="I54" s="41" t="str">
        <f t="shared" si="5"/>
        <v/>
      </c>
      <c r="J54" s="40">
        <f t="shared" si="5"/>
        <v>50</v>
      </c>
      <c r="K54" s="40" t="str">
        <f t="shared" si="5"/>
        <v/>
      </c>
      <c r="L54" s="40" t="str">
        <f t="shared" si="5"/>
        <v/>
      </c>
      <c r="M54" s="40" t="str">
        <f t="shared" si="5"/>
        <v/>
      </c>
      <c r="N54" s="40" t="str">
        <f t="shared" si="5"/>
        <v/>
      </c>
      <c r="O54" s="41" t="str">
        <f t="shared" si="5"/>
        <v/>
      </c>
      <c r="P54" s="42" t="str">
        <f t="shared" si="5"/>
        <v/>
      </c>
      <c r="Q54" s="40">
        <f t="shared" si="5"/>
        <v>51</v>
      </c>
      <c r="R54" s="40" t="str">
        <f t="shared" si="5"/>
        <v/>
      </c>
      <c r="S54" s="40" t="str">
        <f t="shared" si="5"/>
        <v/>
      </c>
      <c r="T54" s="40" t="str">
        <f t="shared" si="5"/>
        <v/>
      </c>
      <c r="U54" s="40" t="str">
        <f t="shared" si="5"/>
        <v/>
      </c>
      <c r="V54" s="41" t="str">
        <f t="shared" si="5"/>
        <v/>
      </c>
      <c r="W54" s="41" t="str">
        <f t="shared" si="5"/>
        <v/>
      </c>
      <c r="X54" s="40">
        <f t="shared" si="5"/>
        <v>52</v>
      </c>
      <c r="Y54" s="40" t="str">
        <f t="shared" si="5"/>
        <v/>
      </c>
      <c r="Z54" s="40" t="str">
        <f t="shared" si="5"/>
        <v/>
      </c>
      <c r="AA54" s="40" t="str">
        <f t="shared" si="5"/>
        <v/>
      </c>
      <c r="AB54" s="41" t="str">
        <f t="shared" si="5"/>
        <v/>
      </c>
      <c r="AC54" s="41" t="str">
        <f t="shared" si="5"/>
        <v/>
      </c>
      <c r="AD54" s="41" t="str">
        <f t="shared" si="5"/>
        <v/>
      </c>
      <c r="AE54" s="40">
        <f t="shared" si="5"/>
        <v>53</v>
      </c>
      <c r="AF54" s="40" t="str">
        <f t="shared" si="5"/>
        <v/>
      </c>
      <c r="AG54" s="40" t="str">
        <f t="shared" si="5"/>
        <v/>
      </c>
      <c r="AH54" s="40" t="str">
        <f t="shared" si="5"/>
        <v/>
      </c>
    </row>
    <row r="55" spans="1:34" ht="22.95" customHeight="1" x14ac:dyDescent="0.3">
      <c r="A55" s="44"/>
      <c r="B55" s="38"/>
      <c r="C55" s="39"/>
      <c r="D55" s="45"/>
      <c r="E55" s="45"/>
      <c r="F55" s="45"/>
      <c r="G55" s="45"/>
      <c r="H55" s="46"/>
      <c r="I55" s="46"/>
      <c r="J55" s="45"/>
      <c r="K55" s="45"/>
      <c r="L55" s="45"/>
      <c r="M55" s="45"/>
      <c r="N55" s="45"/>
      <c r="O55" s="46"/>
      <c r="P55" s="47"/>
      <c r="Q55" s="45"/>
      <c r="R55" s="45"/>
      <c r="S55" s="45"/>
      <c r="T55" s="45"/>
      <c r="U55" s="45"/>
      <c r="V55" s="46"/>
      <c r="W55" s="46"/>
      <c r="X55" s="45"/>
      <c r="Y55" s="45"/>
      <c r="Z55" s="45"/>
      <c r="AA55" s="45"/>
      <c r="AB55" s="46"/>
      <c r="AC55" s="46"/>
      <c r="AD55" s="46"/>
      <c r="AE55" s="45"/>
      <c r="AF55" s="45"/>
      <c r="AG55" s="45"/>
      <c r="AH55" s="45"/>
    </row>
    <row r="56" spans="1:34" ht="22.95" customHeight="1" x14ac:dyDescent="0.3">
      <c r="A56" s="48"/>
      <c r="B56" s="38"/>
      <c r="C56" s="39"/>
      <c r="D56" s="45"/>
      <c r="E56" s="45"/>
      <c r="F56" s="45"/>
      <c r="G56" s="45"/>
      <c r="H56" s="46"/>
      <c r="I56" s="46"/>
      <c r="J56" s="45"/>
      <c r="K56" s="45"/>
      <c r="L56" s="45"/>
      <c r="M56" s="45"/>
      <c r="N56" s="45"/>
      <c r="O56" s="46"/>
      <c r="P56" s="47"/>
      <c r="Q56" s="45"/>
      <c r="R56" s="45"/>
      <c r="S56" s="45"/>
      <c r="T56" s="45"/>
      <c r="U56" s="45"/>
      <c r="V56" s="46"/>
      <c r="W56" s="46"/>
      <c r="X56" s="45"/>
      <c r="Y56" s="45"/>
      <c r="Z56" s="45"/>
      <c r="AA56" s="45"/>
      <c r="AB56" s="46"/>
      <c r="AC56" s="46"/>
      <c r="AD56" s="46"/>
      <c r="AE56" s="45"/>
      <c r="AF56" s="45"/>
      <c r="AG56" s="45"/>
      <c r="AH56" s="45"/>
    </row>
    <row r="57" spans="1:34" ht="22.95" customHeight="1" x14ac:dyDescent="0.3">
      <c r="A57" s="50"/>
      <c r="B57" s="38"/>
      <c r="C57" s="39"/>
      <c r="D57" s="45"/>
      <c r="E57" s="45"/>
      <c r="F57" s="45"/>
      <c r="G57" s="45"/>
      <c r="H57" s="46"/>
      <c r="I57" s="46"/>
      <c r="J57" s="45"/>
      <c r="K57" s="45"/>
      <c r="L57" s="45"/>
      <c r="M57" s="45"/>
      <c r="N57" s="45"/>
      <c r="O57" s="46"/>
      <c r="P57" s="47"/>
      <c r="Q57" s="45"/>
      <c r="R57" s="45"/>
      <c r="S57" s="45"/>
      <c r="T57" s="45"/>
      <c r="U57" s="45"/>
      <c r="V57" s="46"/>
      <c r="W57" s="46"/>
      <c r="X57" s="45"/>
      <c r="Y57" s="45"/>
      <c r="Z57" s="45"/>
      <c r="AA57" s="45"/>
      <c r="AB57" s="46"/>
      <c r="AC57" s="46"/>
      <c r="AD57" s="46"/>
      <c r="AE57" s="45"/>
      <c r="AF57" s="45"/>
      <c r="AG57" s="45"/>
      <c r="AH57" s="45"/>
    </row>
    <row r="58" spans="1:34" ht="22.95" customHeight="1" x14ac:dyDescent="0.3">
      <c r="A58" s="49"/>
      <c r="B58" s="38"/>
      <c r="C58" s="39"/>
      <c r="D58" s="45"/>
      <c r="E58" s="45"/>
      <c r="F58" s="45"/>
      <c r="G58" s="45"/>
      <c r="H58" s="46"/>
      <c r="I58" s="46"/>
      <c r="J58" s="45"/>
      <c r="K58" s="45"/>
      <c r="L58" s="45"/>
      <c r="M58" s="45"/>
      <c r="N58" s="45"/>
      <c r="O58" s="46"/>
      <c r="P58" s="47"/>
      <c r="Q58" s="45"/>
      <c r="R58" s="45"/>
      <c r="S58" s="45"/>
      <c r="T58" s="45"/>
      <c r="U58" s="45"/>
      <c r="V58" s="46"/>
      <c r="W58" s="46"/>
      <c r="X58" s="45"/>
      <c r="Y58" s="45"/>
      <c r="Z58" s="45"/>
      <c r="AA58" s="45"/>
      <c r="AB58" s="46"/>
      <c r="AC58" s="46"/>
      <c r="AD58" s="46"/>
      <c r="AE58" s="45"/>
      <c r="AF58" s="45"/>
      <c r="AG58" s="45"/>
      <c r="AH58" s="45"/>
    </row>
    <row r="59" spans="1:34" ht="22.95" customHeight="1" x14ac:dyDescent="0.3">
      <c r="A59" s="37"/>
      <c r="B59" s="38"/>
      <c r="C59" s="39"/>
      <c r="D59" s="45"/>
      <c r="E59" s="45"/>
      <c r="F59" s="45"/>
      <c r="G59" s="45"/>
      <c r="H59" s="46"/>
      <c r="I59" s="46"/>
      <c r="J59" s="45"/>
      <c r="K59" s="45"/>
      <c r="L59" s="45"/>
      <c r="M59" s="45"/>
      <c r="N59" s="45"/>
      <c r="O59" s="46"/>
      <c r="P59" s="47"/>
      <c r="Q59" s="45"/>
      <c r="R59" s="45"/>
      <c r="S59" s="45"/>
      <c r="T59" s="45"/>
      <c r="U59" s="45"/>
      <c r="V59" s="46"/>
      <c r="W59" s="46"/>
      <c r="X59" s="45"/>
      <c r="Y59" s="45"/>
      <c r="Z59" s="45"/>
      <c r="AA59" s="45"/>
      <c r="AB59" s="46"/>
      <c r="AC59" s="46"/>
      <c r="AD59" s="46"/>
      <c r="AE59" s="45"/>
      <c r="AF59" s="45"/>
      <c r="AG59" s="45"/>
      <c r="AH59" s="45"/>
    </row>
    <row r="60" spans="1:34" ht="22.95" customHeight="1" x14ac:dyDescent="0.3">
      <c r="A60" s="44"/>
      <c r="B60" s="38"/>
      <c r="C60" s="39"/>
      <c r="D60" s="45"/>
      <c r="E60" s="45"/>
      <c r="F60" s="45"/>
      <c r="G60" s="45"/>
      <c r="H60" s="46"/>
      <c r="I60" s="46"/>
      <c r="J60" s="45"/>
      <c r="K60" s="45"/>
      <c r="L60" s="45"/>
      <c r="M60" s="45"/>
      <c r="N60" s="45"/>
      <c r="O60" s="46"/>
      <c r="P60" s="47"/>
      <c r="Q60" s="45"/>
      <c r="R60" s="45"/>
      <c r="S60" s="45"/>
      <c r="T60" s="45"/>
      <c r="U60" s="45"/>
      <c r="V60" s="46"/>
      <c r="W60" s="46"/>
      <c r="X60" s="45"/>
      <c r="Y60" s="45"/>
      <c r="Z60" s="45"/>
      <c r="AA60" s="45"/>
      <c r="AB60" s="46"/>
      <c r="AC60" s="46"/>
      <c r="AD60" s="46"/>
      <c r="AE60" s="45"/>
      <c r="AF60" s="45"/>
      <c r="AG60" s="45"/>
      <c r="AH60" s="45"/>
    </row>
    <row r="61" spans="1:34" ht="22.95" customHeight="1" x14ac:dyDescent="0.3">
      <c r="A61" s="48"/>
      <c r="B61" s="38"/>
      <c r="C61" s="39"/>
      <c r="D61" s="45"/>
      <c r="E61" s="45"/>
      <c r="F61" s="45"/>
      <c r="G61" s="45"/>
      <c r="H61" s="46"/>
      <c r="I61" s="46"/>
      <c r="J61" s="45"/>
      <c r="K61" s="45"/>
      <c r="L61" s="45"/>
      <c r="M61" s="45"/>
      <c r="N61" s="45"/>
      <c r="O61" s="46"/>
      <c r="P61" s="47"/>
      <c r="Q61" s="45"/>
      <c r="R61" s="45"/>
      <c r="S61" s="45"/>
      <c r="T61" s="45"/>
      <c r="U61" s="45"/>
      <c r="V61" s="46"/>
      <c r="W61" s="46"/>
      <c r="X61" s="45"/>
      <c r="Y61" s="45"/>
      <c r="Z61" s="45"/>
      <c r="AA61" s="45"/>
      <c r="AB61" s="46"/>
      <c r="AC61" s="46"/>
      <c r="AD61" s="46"/>
      <c r="AE61" s="45"/>
      <c r="AF61" s="45"/>
      <c r="AG61" s="45"/>
      <c r="AH61" s="45"/>
    </row>
    <row r="62" spans="1:34" ht="22.95" customHeight="1" x14ac:dyDescent="0.3">
      <c r="A62" s="50"/>
      <c r="B62" s="38"/>
      <c r="C62" s="39"/>
      <c r="D62" s="45"/>
      <c r="E62" s="45"/>
      <c r="F62" s="45"/>
      <c r="G62" s="45"/>
      <c r="H62" s="46"/>
      <c r="I62" s="46"/>
      <c r="J62" s="45"/>
      <c r="K62" s="45"/>
      <c r="L62" s="45"/>
      <c r="M62" s="45"/>
      <c r="N62" s="45"/>
      <c r="O62" s="46"/>
      <c r="P62" s="47"/>
      <c r="Q62" s="45"/>
      <c r="R62" s="45"/>
      <c r="S62" s="45"/>
      <c r="T62" s="45"/>
      <c r="U62" s="45"/>
      <c r="V62" s="46"/>
      <c r="W62" s="46"/>
      <c r="X62" s="45"/>
      <c r="Y62" s="45"/>
      <c r="Z62" s="45"/>
      <c r="AA62" s="45"/>
      <c r="AB62" s="46"/>
      <c r="AC62" s="46"/>
      <c r="AD62" s="46"/>
      <c r="AE62" s="45"/>
      <c r="AF62" s="45"/>
      <c r="AG62" s="45"/>
      <c r="AH62" s="45"/>
    </row>
    <row r="63" spans="1:34" ht="22.95" customHeight="1" x14ac:dyDescent="0.3">
      <c r="A63" s="49"/>
      <c r="B63" s="38"/>
      <c r="C63" s="39"/>
      <c r="D63" s="45"/>
      <c r="E63" s="45"/>
      <c r="F63" s="45"/>
      <c r="G63" s="45"/>
      <c r="H63" s="46"/>
      <c r="I63" s="46"/>
      <c r="J63" s="45"/>
      <c r="K63" s="45"/>
      <c r="L63" s="45"/>
      <c r="M63" s="45"/>
      <c r="N63" s="45"/>
      <c r="O63" s="46"/>
      <c r="P63" s="47"/>
      <c r="Q63" s="45"/>
      <c r="R63" s="45"/>
      <c r="S63" s="45"/>
      <c r="T63" s="45"/>
      <c r="U63" s="45"/>
      <c r="V63" s="46"/>
      <c r="W63" s="46"/>
      <c r="X63" s="45"/>
      <c r="Y63" s="45"/>
      <c r="Z63" s="45"/>
      <c r="AA63" s="45"/>
      <c r="AB63" s="46"/>
      <c r="AC63" s="46"/>
      <c r="AD63" s="46"/>
      <c r="AE63" s="45"/>
      <c r="AF63" s="45"/>
      <c r="AG63" s="45"/>
      <c r="AH63" s="45"/>
    </row>
    <row r="64" spans="1:34" ht="22.95" customHeight="1" x14ac:dyDescent="0.3">
      <c r="A64" s="37"/>
      <c r="B64" s="38"/>
      <c r="C64" s="39"/>
      <c r="D64" s="40" t="str">
        <f t="shared" ref="D64:AH64" si="6">IF(WEEKDAY(D$3)=2,_xlfn.ISOWEEKNUM(D$3),"")</f>
        <v/>
      </c>
      <c r="E64" s="40" t="str">
        <f t="shared" si="6"/>
        <v/>
      </c>
      <c r="F64" s="40" t="str">
        <f t="shared" si="6"/>
        <v/>
      </c>
      <c r="G64" s="40" t="str">
        <f t="shared" si="6"/>
        <v/>
      </c>
      <c r="H64" s="41" t="str">
        <f t="shared" si="6"/>
        <v/>
      </c>
      <c r="I64" s="41" t="str">
        <f t="shared" si="6"/>
        <v/>
      </c>
      <c r="J64" s="40">
        <f t="shared" si="6"/>
        <v>50</v>
      </c>
      <c r="K64" s="40" t="str">
        <f t="shared" si="6"/>
        <v/>
      </c>
      <c r="L64" s="40" t="str">
        <f t="shared" si="6"/>
        <v/>
      </c>
      <c r="M64" s="40" t="str">
        <f t="shared" si="6"/>
        <v/>
      </c>
      <c r="N64" s="40" t="str">
        <f t="shared" si="6"/>
        <v/>
      </c>
      <c r="O64" s="41" t="str">
        <f t="shared" si="6"/>
        <v/>
      </c>
      <c r="P64" s="42" t="str">
        <f t="shared" si="6"/>
        <v/>
      </c>
      <c r="Q64" s="40">
        <f t="shared" si="6"/>
        <v>51</v>
      </c>
      <c r="R64" s="40" t="str">
        <f t="shared" si="6"/>
        <v/>
      </c>
      <c r="S64" s="40" t="str">
        <f t="shared" si="6"/>
        <v/>
      </c>
      <c r="T64" s="40" t="str">
        <f t="shared" si="6"/>
        <v/>
      </c>
      <c r="U64" s="40" t="str">
        <f t="shared" si="6"/>
        <v/>
      </c>
      <c r="V64" s="41" t="str">
        <f t="shared" si="6"/>
        <v/>
      </c>
      <c r="W64" s="41" t="str">
        <f t="shared" si="6"/>
        <v/>
      </c>
      <c r="X64" s="40">
        <f t="shared" si="6"/>
        <v>52</v>
      </c>
      <c r="Y64" s="40" t="str">
        <f t="shared" si="6"/>
        <v/>
      </c>
      <c r="Z64" s="40" t="str">
        <f t="shared" si="6"/>
        <v/>
      </c>
      <c r="AA64" s="40" t="str">
        <f t="shared" si="6"/>
        <v/>
      </c>
      <c r="AB64" s="41" t="str">
        <f t="shared" si="6"/>
        <v/>
      </c>
      <c r="AC64" s="41" t="str">
        <f t="shared" si="6"/>
        <v/>
      </c>
      <c r="AD64" s="41" t="str">
        <f t="shared" si="6"/>
        <v/>
      </c>
      <c r="AE64" s="40">
        <f t="shared" si="6"/>
        <v>53</v>
      </c>
      <c r="AF64" s="40" t="str">
        <f t="shared" si="6"/>
        <v/>
      </c>
      <c r="AG64" s="40" t="str">
        <f t="shared" si="6"/>
        <v/>
      </c>
      <c r="AH64" s="40" t="str">
        <f t="shared" si="6"/>
        <v/>
      </c>
    </row>
    <row r="65" spans="1:34" ht="22.95" customHeight="1" x14ac:dyDescent="0.3">
      <c r="A65" s="44"/>
      <c r="B65" s="38"/>
      <c r="C65" s="39"/>
      <c r="D65" s="45"/>
      <c r="E65" s="45"/>
      <c r="F65" s="45"/>
      <c r="G65" s="45"/>
      <c r="H65" s="46"/>
      <c r="I65" s="46"/>
      <c r="J65" s="45"/>
      <c r="K65" s="45"/>
      <c r="L65" s="45"/>
      <c r="M65" s="45"/>
      <c r="N65" s="45"/>
      <c r="O65" s="46"/>
      <c r="P65" s="47"/>
      <c r="Q65" s="45"/>
      <c r="R65" s="45"/>
      <c r="S65" s="45"/>
      <c r="T65" s="45"/>
      <c r="U65" s="45"/>
      <c r="V65" s="46"/>
      <c r="W65" s="46"/>
      <c r="X65" s="45"/>
      <c r="Y65" s="45"/>
      <c r="Z65" s="45"/>
      <c r="AA65" s="45"/>
      <c r="AB65" s="46"/>
      <c r="AC65" s="46"/>
      <c r="AD65" s="46"/>
      <c r="AE65" s="45"/>
      <c r="AF65" s="45"/>
      <c r="AG65" s="45"/>
      <c r="AH65" s="45"/>
    </row>
    <row r="66" spans="1:34" ht="22.95" customHeight="1" x14ac:dyDescent="0.3">
      <c r="A66" s="48"/>
      <c r="B66" s="38"/>
      <c r="C66" s="39"/>
      <c r="D66" s="45"/>
      <c r="E66" s="45"/>
      <c r="F66" s="45"/>
      <c r="G66" s="45"/>
      <c r="H66" s="46"/>
      <c r="I66" s="46"/>
      <c r="J66" s="45"/>
      <c r="K66" s="45"/>
      <c r="L66" s="45"/>
      <c r="M66" s="45"/>
      <c r="N66" s="45"/>
      <c r="O66" s="46"/>
      <c r="P66" s="47"/>
      <c r="Q66" s="45"/>
      <c r="R66" s="45"/>
      <c r="S66" s="45"/>
      <c r="T66" s="45"/>
      <c r="U66" s="45"/>
      <c r="V66" s="46"/>
      <c r="W66" s="46"/>
      <c r="X66" s="45"/>
      <c r="Y66" s="45"/>
      <c r="Z66" s="45"/>
      <c r="AA66" s="45"/>
      <c r="AB66" s="46"/>
      <c r="AC66" s="46"/>
      <c r="AD66" s="46"/>
      <c r="AE66" s="45"/>
      <c r="AF66" s="45"/>
      <c r="AG66" s="45"/>
      <c r="AH66" s="45"/>
    </row>
    <row r="67" spans="1:34" ht="22.95" customHeight="1" x14ac:dyDescent="0.3">
      <c r="A67" s="50"/>
      <c r="B67" s="38"/>
      <c r="C67" s="39"/>
      <c r="D67" s="45"/>
      <c r="E67" s="45"/>
      <c r="F67" s="45"/>
      <c r="G67" s="45"/>
      <c r="H67" s="46"/>
      <c r="I67" s="46"/>
      <c r="J67" s="45"/>
      <c r="K67" s="45"/>
      <c r="L67" s="45"/>
      <c r="M67" s="45"/>
      <c r="N67" s="45"/>
      <c r="O67" s="46"/>
      <c r="P67" s="47"/>
      <c r="Q67" s="45"/>
      <c r="R67" s="45"/>
      <c r="S67" s="45"/>
      <c r="T67" s="45"/>
      <c r="U67" s="45"/>
      <c r="V67" s="46"/>
      <c r="W67" s="46"/>
      <c r="X67" s="45"/>
      <c r="Y67" s="45"/>
      <c r="Z67" s="45"/>
      <c r="AA67" s="45"/>
      <c r="AB67" s="46"/>
      <c r="AC67" s="46"/>
      <c r="AD67" s="46"/>
      <c r="AE67" s="45"/>
      <c r="AF67" s="45"/>
      <c r="AG67" s="45"/>
      <c r="AH67" s="45"/>
    </row>
    <row r="68" spans="1:34" ht="22.95" customHeight="1" x14ac:dyDescent="0.3">
      <c r="A68" s="49"/>
      <c r="B68" s="38"/>
      <c r="C68" s="39"/>
      <c r="D68" s="45"/>
      <c r="E68" s="45"/>
      <c r="F68" s="45"/>
      <c r="G68" s="45"/>
      <c r="H68" s="46"/>
      <c r="I68" s="46"/>
      <c r="J68" s="45"/>
      <c r="K68" s="45"/>
      <c r="L68" s="45"/>
      <c r="M68" s="45"/>
      <c r="N68" s="45"/>
      <c r="O68" s="46"/>
      <c r="P68" s="47"/>
      <c r="Q68" s="45"/>
      <c r="R68" s="45"/>
      <c r="S68" s="45"/>
      <c r="T68" s="45"/>
      <c r="U68" s="45"/>
      <c r="V68" s="46"/>
      <c r="W68" s="46"/>
      <c r="X68" s="45"/>
      <c r="Y68" s="45"/>
      <c r="Z68" s="45"/>
      <c r="AA68" s="45"/>
      <c r="AB68" s="46"/>
      <c r="AC68" s="46"/>
      <c r="AD68" s="46"/>
      <c r="AE68" s="45"/>
      <c r="AF68" s="45"/>
      <c r="AG68" s="45"/>
      <c r="AH68" s="45"/>
    </row>
    <row r="69" spans="1:34" ht="22.95" customHeight="1" x14ac:dyDescent="0.3">
      <c r="A69" s="37"/>
      <c r="B69" s="38"/>
      <c r="C69" s="39"/>
      <c r="D69" s="45"/>
      <c r="E69" s="45"/>
      <c r="F69" s="45"/>
      <c r="G69" s="45"/>
      <c r="H69" s="46"/>
      <c r="I69" s="46"/>
      <c r="J69" s="45"/>
      <c r="K69" s="45"/>
      <c r="L69" s="45"/>
      <c r="M69" s="45"/>
      <c r="N69" s="45"/>
      <c r="O69" s="46"/>
      <c r="P69" s="47"/>
      <c r="Q69" s="45"/>
      <c r="R69" s="45"/>
      <c r="S69" s="45"/>
      <c r="T69" s="45"/>
      <c r="U69" s="45"/>
      <c r="V69" s="46"/>
      <c r="W69" s="46"/>
      <c r="X69" s="45"/>
      <c r="Y69" s="45"/>
      <c r="Z69" s="45"/>
      <c r="AA69" s="45"/>
      <c r="AB69" s="46"/>
      <c r="AC69" s="46"/>
      <c r="AD69" s="46"/>
      <c r="AE69" s="45"/>
      <c r="AF69" s="45"/>
      <c r="AG69" s="45"/>
      <c r="AH69" s="45"/>
    </row>
    <row r="70" spans="1:34" ht="22.95" customHeight="1" x14ac:dyDescent="0.3">
      <c r="A70" s="44"/>
      <c r="B70" s="38"/>
      <c r="C70" s="39"/>
      <c r="D70" s="45"/>
      <c r="E70" s="45"/>
      <c r="F70" s="45"/>
      <c r="G70" s="45"/>
      <c r="H70" s="46"/>
      <c r="I70" s="46"/>
      <c r="J70" s="45"/>
      <c r="K70" s="45"/>
      <c r="L70" s="45"/>
      <c r="M70" s="45"/>
      <c r="N70" s="45"/>
      <c r="O70" s="46"/>
      <c r="P70" s="47"/>
      <c r="Q70" s="45"/>
      <c r="R70" s="45"/>
      <c r="S70" s="45"/>
      <c r="T70" s="45"/>
      <c r="U70" s="45"/>
      <c r="V70" s="46"/>
      <c r="W70" s="46"/>
      <c r="X70" s="45"/>
      <c r="Y70" s="45"/>
      <c r="Z70" s="45"/>
      <c r="AA70" s="45"/>
      <c r="AB70" s="46"/>
      <c r="AC70" s="46"/>
      <c r="AD70" s="46"/>
      <c r="AE70" s="45"/>
      <c r="AF70" s="45"/>
      <c r="AG70" s="45"/>
      <c r="AH70" s="45"/>
    </row>
    <row r="71" spans="1:34" ht="22.95" customHeight="1" x14ac:dyDescent="0.3">
      <c r="A71" s="48"/>
      <c r="B71" s="38"/>
      <c r="C71" s="39"/>
      <c r="D71" s="45"/>
      <c r="E71" s="45"/>
      <c r="F71" s="45"/>
      <c r="G71" s="45"/>
      <c r="H71" s="46"/>
      <c r="I71" s="46"/>
      <c r="J71" s="45"/>
      <c r="K71" s="45"/>
      <c r="L71" s="45"/>
      <c r="M71" s="45"/>
      <c r="N71" s="45"/>
      <c r="O71" s="46"/>
      <c r="P71" s="47"/>
      <c r="Q71" s="45"/>
      <c r="R71" s="45"/>
      <c r="S71" s="45"/>
      <c r="T71" s="45"/>
      <c r="U71" s="45"/>
      <c r="V71" s="46"/>
      <c r="W71" s="46"/>
      <c r="X71" s="45"/>
      <c r="Y71" s="45"/>
      <c r="Z71" s="45"/>
      <c r="AA71" s="45"/>
      <c r="AB71" s="46"/>
      <c r="AC71" s="46"/>
      <c r="AD71" s="46"/>
      <c r="AE71" s="45"/>
      <c r="AF71" s="45"/>
      <c r="AG71" s="45"/>
      <c r="AH71" s="45"/>
    </row>
    <row r="72" spans="1:34" ht="22.95" customHeight="1" x14ac:dyDescent="0.3">
      <c r="A72" s="50"/>
      <c r="B72" s="38"/>
      <c r="C72" s="39"/>
      <c r="D72" s="45"/>
      <c r="E72" s="45"/>
      <c r="F72" s="45"/>
      <c r="G72" s="45"/>
      <c r="H72" s="46"/>
      <c r="I72" s="46"/>
      <c r="J72" s="45"/>
      <c r="K72" s="45"/>
      <c r="L72" s="45"/>
      <c r="M72" s="45"/>
      <c r="N72" s="45"/>
      <c r="O72" s="46"/>
      <c r="P72" s="47"/>
      <c r="Q72" s="45"/>
      <c r="R72" s="45"/>
      <c r="S72" s="45"/>
      <c r="T72" s="45"/>
      <c r="U72" s="45"/>
      <c r="V72" s="46"/>
      <c r="W72" s="46"/>
      <c r="X72" s="45"/>
      <c r="Y72" s="45"/>
      <c r="Z72" s="45"/>
      <c r="AA72" s="45"/>
      <c r="AB72" s="46"/>
      <c r="AC72" s="46"/>
      <c r="AD72" s="46"/>
      <c r="AE72" s="45"/>
      <c r="AF72" s="45"/>
      <c r="AG72" s="45"/>
      <c r="AH72" s="45"/>
    </row>
    <row r="73" spans="1:34" ht="22.95" customHeight="1" x14ac:dyDescent="0.3">
      <c r="A73" s="49"/>
      <c r="B73" s="38"/>
      <c r="C73" s="39"/>
      <c r="D73" s="45"/>
      <c r="E73" s="45"/>
      <c r="F73" s="45"/>
      <c r="G73" s="45"/>
      <c r="H73" s="46"/>
      <c r="I73" s="46"/>
      <c r="J73" s="45"/>
      <c r="K73" s="45"/>
      <c r="L73" s="45"/>
      <c r="M73" s="45"/>
      <c r="N73" s="45"/>
      <c r="O73" s="46"/>
      <c r="P73" s="47"/>
      <c r="Q73" s="45"/>
      <c r="R73" s="45"/>
      <c r="S73" s="45"/>
      <c r="T73" s="45"/>
      <c r="U73" s="45"/>
      <c r="V73" s="46"/>
      <c r="W73" s="46"/>
      <c r="X73" s="45"/>
      <c r="Y73" s="45"/>
      <c r="Z73" s="45"/>
      <c r="AA73" s="45"/>
      <c r="AB73" s="46"/>
      <c r="AC73" s="46"/>
      <c r="AD73" s="46"/>
      <c r="AE73" s="45"/>
      <c r="AF73" s="45"/>
      <c r="AG73" s="45"/>
      <c r="AH73" s="45"/>
    </row>
    <row r="74" spans="1:34" ht="22.95" customHeight="1" x14ac:dyDescent="0.3">
      <c r="A74" s="37"/>
      <c r="B74" s="38"/>
      <c r="C74" s="39"/>
      <c r="D74" s="40" t="str">
        <f t="shared" ref="D74:AH74" si="7">IF(WEEKDAY(D$3)=2,_xlfn.ISOWEEKNUM(D$3),"")</f>
        <v/>
      </c>
      <c r="E74" s="40" t="str">
        <f t="shared" si="7"/>
        <v/>
      </c>
      <c r="F74" s="40" t="str">
        <f t="shared" si="7"/>
        <v/>
      </c>
      <c r="G74" s="40" t="str">
        <f t="shared" si="7"/>
        <v/>
      </c>
      <c r="H74" s="41" t="str">
        <f t="shared" si="7"/>
        <v/>
      </c>
      <c r="I74" s="41" t="str">
        <f t="shared" si="7"/>
        <v/>
      </c>
      <c r="J74" s="40">
        <f t="shared" si="7"/>
        <v>50</v>
      </c>
      <c r="K74" s="40" t="str">
        <f t="shared" si="7"/>
        <v/>
      </c>
      <c r="L74" s="40" t="str">
        <f t="shared" si="7"/>
        <v/>
      </c>
      <c r="M74" s="40" t="str">
        <f t="shared" si="7"/>
        <v/>
      </c>
      <c r="N74" s="40" t="str">
        <f t="shared" si="7"/>
        <v/>
      </c>
      <c r="O74" s="41" t="str">
        <f t="shared" si="7"/>
        <v/>
      </c>
      <c r="P74" s="42" t="str">
        <f t="shared" si="7"/>
        <v/>
      </c>
      <c r="Q74" s="40">
        <f t="shared" si="7"/>
        <v>51</v>
      </c>
      <c r="R74" s="40" t="str">
        <f t="shared" si="7"/>
        <v/>
      </c>
      <c r="S74" s="40" t="str">
        <f t="shared" si="7"/>
        <v/>
      </c>
      <c r="T74" s="40" t="str">
        <f t="shared" si="7"/>
        <v/>
      </c>
      <c r="U74" s="40" t="str">
        <f t="shared" si="7"/>
        <v/>
      </c>
      <c r="V74" s="41" t="str">
        <f t="shared" si="7"/>
        <v/>
      </c>
      <c r="W74" s="41" t="str">
        <f t="shared" si="7"/>
        <v/>
      </c>
      <c r="X74" s="40">
        <f t="shared" si="7"/>
        <v>52</v>
      </c>
      <c r="Y74" s="40" t="str">
        <f t="shared" si="7"/>
        <v/>
      </c>
      <c r="Z74" s="40" t="str">
        <f t="shared" si="7"/>
        <v/>
      </c>
      <c r="AA74" s="40" t="str">
        <f t="shared" si="7"/>
        <v/>
      </c>
      <c r="AB74" s="41" t="str">
        <f t="shared" si="7"/>
        <v/>
      </c>
      <c r="AC74" s="41" t="str">
        <f t="shared" si="7"/>
        <v/>
      </c>
      <c r="AD74" s="41" t="str">
        <f t="shared" si="7"/>
        <v/>
      </c>
      <c r="AE74" s="40">
        <f t="shared" si="7"/>
        <v>53</v>
      </c>
      <c r="AF74" s="40" t="str">
        <f t="shared" si="7"/>
        <v/>
      </c>
      <c r="AG74" s="40" t="str">
        <f t="shared" si="7"/>
        <v/>
      </c>
      <c r="AH74" s="40" t="str">
        <f t="shared" si="7"/>
        <v/>
      </c>
    </row>
    <row r="75" spans="1:34" ht="22.95" customHeight="1" x14ac:dyDescent="0.3">
      <c r="A75" s="44"/>
      <c r="B75" s="38"/>
      <c r="C75" s="39"/>
      <c r="D75" s="45"/>
      <c r="E75" s="45"/>
      <c r="F75" s="45"/>
      <c r="G75" s="45"/>
      <c r="H75" s="46"/>
      <c r="I75" s="46"/>
      <c r="J75" s="45"/>
      <c r="K75" s="45"/>
      <c r="L75" s="45"/>
      <c r="M75" s="45"/>
      <c r="N75" s="45"/>
      <c r="O75" s="46"/>
      <c r="P75" s="47"/>
      <c r="Q75" s="45"/>
      <c r="R75" s="45"/>
      <c r="S75" s="45"/>
      <c r="T75" s="45"/>
      <c r="U75" s="45"/>
      <c r="V75" s="46"/>
      <c r="W75" s="46"/>
      <c r="X75" s="45"/>
      <c r="Y75" s="45"/>
      <c r="Z75" s="45"/>
      <c r="AA75" s="45"/>
      <c r="AB75" s="46"/>
      <c r="AC75" s="46"/>
      <c r="AD75" s="46"/>
      <c r="AE75" s="45"/>
      <c r="AF75" s="45"/>
      <c r="AG75" s="45"/>
      <c r="AH75" s="45"/>
    </row>
    <row r="76" spans="1:34" ht="22.95" customHeight="1" x14ac:dyDescent="0.3">
      <c r="A76" s="48"/>
      <c r="B76" s="38"/>
      <c r="C76" s="39"/>
      <c r="D76" s="45"/>
      <c r="E76" s="45"/>
      <c r="F76" s="45"/>
      <c r="G76" s="45"/>
      <c r="H76" s="46"/>
      <c r="I76" s="46"/>
      <c r="J76" s="45"/>
      <c r="K76" s="45"/>
      <c r="L76" s="45"/>
      <c r="M76" s="45"/>
      <c r="N76" s="45"/>
      <c r="O76" s="46"/>
      <c r="P76" s="47"/>
      <c r="Q76" s="45"/>
      <c r="R76" s="45"/>
      <c r="S76" s="45"/>
      <c r="T76" s="45"/>
      <c r="U76" s="45"/>
      <c r="V76" s="46"/>
      <c r="W76" s="46"/>
      <c r="X76" s="45"/>
      <c r="Y76" s="45"/>
      <c r="Z76" s="45"/>
      <c r="AA76" s="45"/>
      <c r="AB76" s="46"/>
      <c r="AC76" s="46"/>
      <c r="AD76" s="46"/>
      <c r="AE76" s="45"/>
      <c r="AF76" s="45"/>
      <c r="AG76" s="45"/>
      <c r="AH76" s="45"/>
    </row>
    <row r="77" spans="1:34" ht="22.95" customHeight="1" x14ac:dyDescent="0.3">
      <c r="A77" s="50"/>
      <c r="B77" s="38"/>
      <c r="C77" s="39"/>
      <c r="D77" s="45"/>
      <c r="E77" s="45"/>
      <c r="F77" s="45"/>
      <c r="G77" s="45"/>
      <c r="H77" s="46"/>
      <c r="I77" s="46"/>
      <c r="J77" s="45"/>
      <c r="K77" s="45"/>
      <c r="L77" s="45"/>
      <c r="M77" s="45"/>
      <c r="N77" s="45"/>
      <c r="O77" s="46"/>
      <c r="P77" s="47"/>
      <c r="Q77" s="45"/>
      <c r="R77" s="45"/>
      <c r="S77" s="45"/>
      <c r="T77" s="45"/>
      <c r="U77" s="45"/>
      <c r="V77" s="46"/>
      <c r="W77" s="46"/>
      <c r="X77" s="45"/>
      <c r="Y77" s="45"/>
      <c r="Z77" s="45"/>
      <c r="AA77" s="45"/>
      <c r="AB77" s="46"/>
      <c r="AC77" s="46"/>
      <c r="AD77" s="46"/>
      <c r="AE77" s="45"/>
      <c r="AF77" s="45"/>
      <c r="AG77" s="45"/>
      <c r="AH77" s="45"/>
    </row>
    <row r="78" spans="1:34" ht="22.95" customHeight="1" x14ac:dyDescent="0.3">
      <c r="A78" s="49"/>
      <c r="B78" s="38"/>
      <c r="C78" s="39"/>
      <c r="D78" s="45"/>
      <c r="E78" s="45"/>
      <c r="F78" s="45"/>
      <c r="G78" s="45"/>
      <c r="H78" s="46"/>
      <c r="I78" s="46"/>
      <c r="J78" s="45"/>
      <c r="K78" s="45"/>
      <c r="L78" s="45"/>
      <c r="M78" s="45"/>
      <c r="N78" s="45"/>
      <c r="O78" s="46"/>
      <c r="P78" s="47"/>
      <c r="Q78" s="45"/>
      <c r="R78" s="45"/>
      <c r="S78" s="45"/>
      <c r="T78" s="45"/>
      <c r="U78" s="45"/>
      <c r="V78" s="46"/>
      <c r="W78" s="46"/>
      <c r="X78" s="45"/>
      <c r="Y78" s="45"/>
      <c r="Z78" s="45"/>
      <c r="AA78" s="45"/>
      <c r="AB78" s="46"/>
      <c r="AC78" s="46"/>
      <c r="AD78" s="46"/>
      <c r="AE78" s="45"/>
      <c r="AF78" s="45"/>
      <c r="AG78" s="45"/>
      <c r="AH78" s="45"/>
    </row>
    <row r="79" spans="1:34" ht="22.95" customHeight="1" x14ac:dyDescent="0.3">
      <c r="A79" s="37"/>
      <c r="B79" s="38"/>
      <c r="C79" s="39"/>
      <c r="D79" s="45"/>
      <c r="E79" s="45"/>
      <c r="F79" s="45"/>
      <c r="G79" s="45"/>
      <c r="H79" s="46"/>
      <c r="I79" s="46"/>
      <c r="J79" s="45"/>
      <c r="K79" s="45"/>
      <c r="L79" s="45"/>
      <c r="M79" s="45"/>
      <c r="N79" s="45"/>
      <c r="O79" s="46"/>
      <c r="P79" s="47"/>
      <c r="Q79" s="45"/>
      <c r="R79" s="45"/>
      <c r="S79" s="45"/>
      <c r="T79" s="45"/>
      <c r="U79" s="45"/>
      <c r="V79" s="46"/>
      <c r="W79" s="46"/>
      <c r="X79" s="45"/>
      <c r="Y79" s="45"/>
      <c r="Z79" s="45"/>
      <c r="AA79" s="45"/>
      <c r="AB79" s="46"/>
      <c r="AC79" s="46"/>
      <c r="AD79" s="46"/>
      <c r="AE79" s="45"/>
      <c r="AF79" s="45"/>
      <c r="AG79" s="45"/>
      <c r="AH79" s="45"/>
    </row>
    <row r="80" spans="1:34" ht="22.95" customHeight="1" x14ac:dyDescent="0.3">
      <c r="A80" s="44"/>
      <c r="B80" s="38"/>
      <c r="C80" s="39"/>
      <c r="D80" s="45"/>
      <c r="E80" s="45"/>
      <c r="F80" s="45"/>
      <c r="G80" s="45"/>
      <c r="H80" s="46"/>
      <c r="I80" s="46"/>
      <c r="J80" s="45"/>
      <c r="K80" s="45"/>
      <c r="L80" s="45"/>
      <c r="M80" s="45"/>
      <c r="N80" s="45"/>
      <c r="O80" s="46"/>
      <c r="P80" s="47"/>
      <c r="Q80" s="45"/>
      <c r="R80" s="45"/>
      <c r="S80" s="45"/>
      <c r="T80" s="45"/>
      <c r="U80" s="45"/>
      <c r="V80" s="46"/>
      <c r="W80" s="46"/>
      <c r="X80" s="45"/>
      <c r="Y80" s="45"/>
      <c r="Z80" s="45"/>
      <c r="AA80" s="45"/>
      <c r="AB80" s="46"/>
      <c r="AC80" s="46"/>
      <c r="AD80" s="46"/>
      <c r="AE80" s="45"/>
      <c r="AF80" s="45"/>
      <c r="AG80" s="45"/>
      <c r="AH80" s="45"/>
    </row>
    <row r="81" spans="1:34" ht="22.95" customHeight="1" x14ac:dyDescent="0.3">
      <c r="A81" s="48"/>
      <c r="B81" s="38"/>
      <c r="C81" s="39"/>
      <c r="D81" s="45"/>
      <c r="E81" s="45"/>
      <c r="F81" s="45"/>
      <c r="G81" s="45"/>
      <c r="H81" s="46"/>
      <c r="I81" s="46"/>
      <c r="J81" s="45"/>
      <c r="K81" s="45"/>
      <c r="L81" s="45"/>
      <c r="M81" s="45"/>
      <c r="N81" s="45"/>
      <c r="O81" s="46"/>
      <c r="P81" s="47"/>
      <c r="Q81" s="45"/>
      <c r="R81" s="45"/>
      <c r="S81" s="45"/>
      <c r="T81" s="45"/>
      <c r="U81" s="45"/>
      <c r="V81" s="46"/>
      <c r="W81" s="46"/>
      <c r="X81" s="45"/>
      <c r="Y81" s="45"/>
      <c r="Z81" s="45"/>
      <c r="AA81" s="45"/>
      <c r="AB81" s="46"/>
      <c r="AC81" s="46"/>
      <c r="AD81" s="46"/>
      <c r="AE81" s="45"/>
      <c r="AF81" s="45"/>
      <c r="AG81" s="45"/>
      <c r="AH81" s="45"/>
    </row>
    <row r="82" spans="1:34" ht="22.95" customHeight="1" x14ac:dyDescent="0.3">
      <c r="A82" s="50"/>
      <c r="B82" s="38"/>
      <c r="C82" s="39"/>
      <c r="D82" s="45"/>
      <c r="E82" s="45"/>
      <c r="F82" s="45"/>
      <c r="G82" s="45"/>
      <c r="H82" s="46"/>
      <c r="I82" s="46"/>
      <c r="J82" s="45"/>
      <c r="K82" s="45"/>
      <c r="L82" s="45"/>
      <c r="M82" s="45"/>
      <c r="N82" s="45"/>
      <c r="O82" s="46"/>
      <c r="P82" s="47"/>
      <c r="Q82" s="45"/>
      <c r="R82" s="45"/>
      <c r="S82" s="45"/>
      <c r="T82" s="45"/>
      <c r="U82" s="45"/>
      <c r="V82" s="46"/>
      <c r="W82" s="46"/>
      <c r="X82" s="45"/>
      <c r="Y82" s="45"/>
      <c r="Z82" s="45"/>
      <c r="AA82" s="45"/>
      <c r="AB82" s="46"/>
      <c r="AC82" s="46"/>
      <c r="AD82" s="46"/>
      <c r="AE82" s="45"/>
      <c r="AF82" s="45"/>
      <c r="AG82" s="45"/>
      <c r="AH82" s="45"/>
    </row>
    <row r="83" spans="1:34" ht="22.95" customHeight="1" x14ac:dyDescent="0.3">
      <c r="A83" s="49"/>
      <c r="B83" s="38"/>
      <c r="C83" s="39"/>
      <c r="D83" s="45"/>
      <c r="E83" s="45"/>
      <c r="F83" s="45"/>
      <c r="G83" s="45"/>
      <c r="H83" s="46"/>
      <c r="I83" s="46"/>
      <c r="J83" s="45"/>
      <c r="K83" s="45"/>
      <c r="L83" s="45"/>
      <c r="M83" s="45"/>
      <c r="N83" s="45"/>
      <c r="O83" s="46"/>
      <c r="P83" s="47"/>
      <c r="Q83" s="45"/>
      <c r="R83" s="45"/>
      <c r="S83" s="45"/>
      <c r="T83" s="45"/>
      <c r="U83" s="45"/>
      <c r="V83" s="46"/>
      <c r="W83" s="46"/>
      <c r="X83" s="45"/>
      <c r="Y83" s="45"/>
      <c r="Z83" s="45"/>
      <c r="AA83" s="45"/>
      <c r="AB83" s="46"/>
      <c r="AC83" s="46"/>
      <c r="AD83" s="46"/>
      <c r="AE83" s="45"/>
      <c r="AF83" s="45"/>
      <c r="AG83" s="45"/>
      <c r="AH83" s="45"/>
    </row>
    <row r="84" spans="1:34" ht="22.95" customHeight="1" x14ac:dyDescent="0.3">
      <c r="A84" s="37"/>
      <c r="B84" s="38"/>
      <c r="C84" s="39"/>
      <c r="D84" s="40" t="str">
        <f t="shared" ref="D84:AH84" si="8">IF(WEEKDAY(D$3)=2,_xlfn.ISOWEEKNUM(D$3),"")</f>
        <v/>
      </c>
      <c r="E84" s="40" t="str">
        <f t="shared" si="8"/>
        <v/>
      </c>
      <c r="F84" s="40" t="str">
        <f t="shared" si="8"/>
        <v/>
      </c>
      <c r="G84" s="40" t="str">
        <f t="shared" si="8"/>
        <v/>
      </c>
      <c r="H84" s="41" t="str">
        <f t="shared" si="8"/>
        <v/>
      </c>
      <c r="I84" s="41" t="str">
        <f t="shared" si="8"/>
        <v/>
      </c>
      <c r="J84" s="40">
        <f t="shared" si="8"/>
        <v>50</v>
      </c>
      <c r="K84" s="40" t="str">
        <f t="shared" si="8"/>
        <v/>
      </c>
      <c r="L84" s="40" t="str">
        <f t="shared" si="8"/>
        <v/>
      </c>
      <c r="M84" s="40" t="str">
        <f t="shared" si="8"/>
        <v/>
      </c>
      <c r="N84" s="40" t="str">
        <f t="shared" si="8"/>
        <v/>
      </c>
      <c r="O84" s="41" t="str">
        <f t="shared" si="8"/>
        <v/>
      </c>
      <c r="P84" s="42" t="str">
        <f t="shared" si="8"/>
        <v/>
      </c>
      <c r="Q84" s="40">
        <f t="shared" si="8"/>
        <v>51</v>
      </c>
      <c r="R84" s="40" t="str">
        <f t="shared" si="8"/>
        <v/>
      </c>
      <c r="S84" s="40" t="str">
        <f t="shared" si="8"/>
        <v/>
      </c>
      <c r="T84" s="40" t="str">
        <f t="shared" si="8"/>
        <v/>
      </c>
      <c r="U84" s="40" t="str">
        <f t="shared" si="8"/>
        <v/>
      </c>
      <c r="V84" s="41" t="str">
        <f t="shared" si="8"/>
        <v/>
      </c>
      <c r="W84" s="41" t="str">
        <f t="shared" si="8"/>
        <v/>
      </c>
      <c r="X84" s="40">
        <f t="shared" si="8"/>
        <v>52</v>
      </c>
      <c r="Y84" s="40" t="str">
        <f t="shared" si="8"/>
        <v/>
      </c>
      <c r="Z84" s="40" t="str">
        <f t="shared" si="8"/>
        <v/>
      </c>
      <c r="AA84" s="40" t="str">
        <f t="shared" si="8"/>
        <v/>
      </c>
      <c r="AB84" s="41" t="str">
        <f t="shared" si="8"/>
        <v/>
      </c>
      <c r="AC84" s="41" t="str">
        <f t="shared" si="8"/>
        <v/>
      </c>
      <c r="AD84" s="41" t="str">
        <f t="shared" si="8"/>
        <v/>
      </c>
      <c r="AE84" s="40">
        <f t="shared" si="8"/>
        <v>53</v>
      </c>
      <c r="AF84" s="40" t="str">
        <f t="shared" si="8"/>
        <v/>
      </c>
      <c r="AG84" s="40" t="str">
        <f t="shared" si="8"/>
        <v/>
      </c>
      <c r="AH84" s="40" t="str">
        <f t="shared" si="8"/>
        <v/>
      </c>
    </row>
    <row r="85" spans="1:34" ht="22.95" customHeight="1" x14ac:dyDescent="0.3">
      <c r="A85" s="44"/>
      <c r="B85" s="38"/>
      <c r="C85" s="39"/>
      <c r="D85" s="45"/>
      <c r="E85" s="45"/>
      <c r="F85" s="45"/>
      <c r="G85" s="45"/>
      <c r="H85" s="46"/>
      <c r="I85" s="46"/>
      <c r="J85" s="45"/>
      <c r="K85" s="45"/>
      <c r="L85" s="45"/>
      <c r="M85" s="45"/>
      <c r="N85" s="45"/>
      <c r="O85" s="46"/>
      <c r="P85" s="47"/>
      <c r="Q85" s="45"/>
      <c r="R85" s="45"/>
      <c r="S85" s="45"/>
      <c r="T85" s="45"/>
      <c r="U85" s="45"/>
      <c r="V85" s="46"/>
      <c r="W85" s="46"/>
      <c r="X85" s="45"/>
      <c r="Y85" s="45"/>
      <c r="Z85" s="45"/>
      <c r="AA85" s="45"/>
      <c r="AB85" s="46"/>
      <c r="AC85" s="46"/>
      <c r="AD85" s="46"/>
      <c r="AE85" s="45"/>
      <c r="AF85" s="45"/>
      <c r="AG85" s="45"/>
      <c r="AH85" s="45"/>
    </row>
    <row r="86" spans="1:34" ht="22.95" customHeight="1" x14ac:dyDescent="0.3">
      <c r="A86" s="48"/>
      <c r="B86" s="38"/>
      <c r="C86" s="39"/>
      <c r="D86" s="45"/>
      <c r="E86" s="45"/>
      <c r="F86" s="45"/>
      <c r="G86" s="45"/>
      <c r="H86" s="46"/>
      <c r="I86" s="46"/>
      <c r="J86" s="45"/>
      <c r="K86" s="45"/>
      <c r="L86" s="45"/>
      <c r="M86" s="45"/>
      <c r="N86" s="45"/>
      <c r="O86" s="46"/>
      <c r="P86" s="47"/>
      <c r="Q86" s="45"/>
      <c r="R86" s="45"/>
      <c r="S86" s="45"/>
      <c r="T86" s="45"/>
      <c r="U86" s="45"/>
      <c r="V86" s="46"/>
      <c r="W86" s="46"/>
      <c r="X86" s="45"/>
      <c r="Y86" s="45"/>
      <c r="Z86" s="45"/>
      <c r="AA86" s="45"/>
      <c r="AB86" s="46"/>
      <c r="AC86" s="46"/>
      <c r="AD86" s="46"/>
      <c r="AE86" s="45"/>
      <c r="AF86" s="45"/>
      <c r="AG86" s="45"/>
      <c r="AH86" s="45"/>
    </row>
    <row r="87" spans="1:34" ht="22.95" customHeight="1" x14ac:dyDescent="0.3">
      <c r="A87" s="50"/>
      <c r="B87" s="38"/>
      <c r="C87" s="39"/>
      <c r="D87" s="45"/>
      <c r="E87" s="45"/>
      <c r="F87" s="45"/>
      <c r="G87" s="45"/>
      <c r="H87" s="46"/>
      <c r="I87" s="46"/>
      <c r="J87" s="45"/>
      <c r="K87" s="45"/>
      <c r="L87" s="45"/>
      <c r="M87" s="45"/>
      <c r="N87" s="45"/>
      <c r="O87" s="46"/>
      <c r="P87" s="47"/>
      <c r="Q87" s="45"/>
      <c r="R87" s="45"/>
      <c r="S87" s="45"/>
      <c r="T87" s="45"/>
      <c r="U87" s="45"/>
      <c r="V87" s="46"/>
      <c r="W87" s="46"/>
      <c r="X87" s="45"/>
      <c r="Y87" s="45"/>
      <c r="Z87" s="45"/>
      <c r="AA87" s="45"/>
      <c r="AB87" s="46"/>
      <c r="AC87" s="46"/>
      <c r="AD87" s="46"/>
      <c r="AE87" s="45"/>
      <c r="AF87" s="45"/>
      <c r="AG87" s="45"/>
      <c r="AH87" s="45"/>
    </row>
    <row r="88" spans="1:34" ht="22.95" customHeight="1" x14ac:dyDescent="0.3">
      <c r="A88" s="49"/>
      <c r="B88" s="38"/>
      <c r="C88" s="39"/>
      <c r="D88" s="45"/>
      <c r="E88" s="45"/>
      <c r="F88" s="45"/>
      <c r="G88" s="45"/>
      <c r="H88" s="46"/>
      <c r="I88" s="46"/>
      <c r="J88" s="45"/>
      <c r="K88" s="45"/>
      <c r="L88" s="45"/>
      <c r="M88" s="45"/>
      <c r="N88" s="45"/>
      <c r="O88" s="46"/>
      <c r="P88" s="47"/>
      <c r="Q88" s="45"/>
      <c r="R88" s="45"/>
      <c r="S88" s="45"/>
      <c r="T88" s="45"/>
      <c r="U88" s="45"/>
      <c r="V88" s="46"/>
      <c r="W88" s="46"/>
      <c r="X88" s="45"/>
      <c r="Y88" s="45"/>
      <c r="Z88" s="45"/>
      <c r="AA88" s="45"/>
      <c r="AB88" s="46"/>
      <c r="AC88" s="46"/>
      <c r="AD88" s="46"/>
      <c r="AE88" s="45"/>
      <c r="AF88" s="45"/>
      <c r="AG88" s="45"/>
      <c r="AH88" s="45"/>
    </row>
    <row r="89" spans="1:34" ht="22.95" customHeight="1" x14ac:dyDescent="0.3">
      <c r="A89" s="37"/>
      <c r="B89" s="38"/>
      <c r="C89" s="39"/>
      <c r="D89" s="45"/>
      <c r="E89" s="45"/>
      <c r="F89" s="45"/>
      <c r="G89" s="45"/>
      <c r="H89" s="46"/>
      <c r="I89" s="46"/>
      <c r="J89" s="45"/>
      <c r="K89" s="45"/>
      <c r="L89" s="45"/>
      <c r="M89" s="45"/>
      <c r="N89" s="45"/>
      <c r="O89" s="46"/>
      <c r="P89" s="47"/>
      <c r="Q89" s="45"/>
      <c r="R89" s="45"/>
      <c r="S89" s="45"/>
      <c r="T89" s="45"/>
      <c r="U89" s="45"/>
      <c r="V89" s="46"/>
      <c r="W89" s="46"/>
      <c r="X89" s="45"/>
      <c r="Y89" s="45"/>
      <c r="Z89" s="45"/>
      <c r="AA89" s="45"/>
      <c r="AB89" s="46"/>
      <c r="AC89" s="46"/>
      <c r="AD89" s="46"/>
      <c r="AE89" s="45"/>
      <c r="AF89" s="45"/>
      <c r="AG89" s="45"/>
      <c r="AH89" s="45"/>
    </row>
    <row r="90" spans="1:34" ht="22.95" customHeight="1" x14ac:dyDescent="0.3">
      <c r="A90" s="44"/>
      <c r="B90" s="38"/>
      <c r="C90" s="39"/>
      <c r="D90" s="45"/>
      <c r="E90" s="45"/>
      <c r="F90" s="45"/>
      <c r="G90" s="45"/>
      <c r="H90" s="46"/>
      <c r="I90" s="46"/>
      <c r="J90" s="45"/>
      <c r="K90" s="45"/>
      <c r="L90" s="45"/>
      <c r="M90" s="45"/>
      <c r="N90" s="45"/>
      <c r="O90" s="46"/>
      <c r="P90" s="47"/>
      <c r="Q90" s="45"/>
      <c r="R90" s="45"/>
      <c r="S90" s="45"/>
      <c r="T90" s="45"/>
      <c r="U90" s="45"/>
      <c r="V90" s="46"/>
      <c r="W90" s="46"/>
      <c r="X90" s="45"/>
      <c r="Y90" s="45"/>
      <c r="Z90" s="45"/>
      <c r="AA90" s="45"/>
      <c r="AB90" s="46"/>
      <c r="AC90" s="46"/>
      <c r="AD90" s="46"/>
      <c r="AE90" s="45"/>
      <c r="AF90" s="45"/>
      <c r="AG90" s="45"/>
      <c r="AH90" s="45"/>
    </row>
    <row r="91" spans="1:34" ht="22.95" customHeight="1" x14ac:dyDescent="0.3">
      <c r="A91" s="48"/>
      <c r="B91" s="38"/>
      <c r="C91" s="39"/>
      <c r="D91" s="45"/>
      <c r="E91" s="45"/>
      <c r="F91" s="45"/>
      <c r="G91" s="45"/>
      <c r="H91" s="46"/>
      <c r="I91" s="46"/>
      <c r="J91" s="45"/>
      <c r="K91" s="45"/>
      <c r="L91" s="45"/>
      <c r="M91" s="45"/>
      <c r="N91" s="45"/>
      <c r="O91" s="46"/>
      <c r="P91" s="47"/>
      <c r="Q91" s="45"/>
      <c r="R91" s="45"/>
      <c r="S91" s="45"/>
      <c r="T91" s="45"/>
      <c r="U91" s="45"/>
      <c r="V91" s="46"/>
      <c r="W91" s="46"/>
      <c r="X91" s="45"/>
      <c r="Y91" s="45"/>
      <c r="Z91" s="45"/>
      <c r="AA91" s="45"/>
      <c r="AB91" s="46"/>
      <c r="AC91" s="46"/>
      <c r="AD91" s="46"/>
      <c r="AE91" s="45"/>
      <c r="AF91" s="45"/>
      <c r="AG91" s="45"/>
      <c r="AH91" s="45"/>
    </row>
    <row r="92" spans="1:34" ht="22.95" customHeight="1" x14ac:dyDescent="0.3">
      <c r="A92" s="50"/>
      <c r="B92" s="38"/>
      <c r="C92" s="39"/>
      <c r="D92" s="45"/>
      <c r="E92" s="45"/>
      <c r="F92" s="45"/>
      <c r="G92" s="45"/>
      <c r="H92" s="46"/>
      <c r="I92" s="46"/>
      <c r="J92" s="45"/>
      <c r="K92" s="45"/>
      <c r="L92" s="45"/>
      <c r="M92" s="45"/>
      <c r="N92" s="45"/>
      <c r="O92" s="46"/>
      <c r="P92" s="47"/>
      <c r="Q92" s="45"/>
      <c r="R92" s="45"/>
      <c r="S92" s="45"/>
      <c r="T92" s="45"/>
      <c r="U92" s="45"/>
      <c r="V92" s="46"/>
      <c r="W92" s="46"/>
      <c r="X92" s="45"/>
      <c r="Y92" s="45"/>
      <c r="Z92" s="45"/>
      <c r="AA92" s="45"/>
      <c r="AB92" s="46"/>
      <c r="AC92" s="46"/>
      <c r="AD92" s="46"/>
      <c r="AE92" s="45"/>
      <c r="AF92" s="45"/>
      <c r="AG92" s="45"/>
      <c r="AH92" s="45"/>
    </row>
    <row r="93" spans="1:34" ht="22.95" customHeight="1" x14ac:dyDescent="0.3">
      <c r="A93" s="49"/>
      <c r="B93" s="38"/>
      <c r="C93" s="39"/>
      <c r="D93" s="45"/>
      <c r="E93" s="45"/>
      <c r="F93" s="45"/>
      <c r="G93" s="45"/>
      <c r="H93" s="46"/>
      <c r="I93" s="46"/>
      <c r="J93" s="45"/>
      <c r="K93" s="45"/>
      <c r="L93" s="45"/>
      <c r="M93" s="45"/>
      <c r="N93" s="45"/>
      <c r="O93" s="46"/>
      <c r="P93" s="47"/>
      <c r="Q93" s="45"/>
      <c r="R93" s="45"/>
      <c r="S93" s="45"/>
      <c r="T93" s="45"/>
      <c r="U93" s="45"/>
      <c r="V93" s="46"/>
      <c r="W93" s="46"/>
      <c r="X93" s="45"/>
      <c r="Y93" s="45"/>
      <c r="Z93" s="45"/>
      <c r="AA93" s="45"/>
      <c r="AB93" s="46"/>
      <c r="AC93" s="46"/>
      <c r="AD93" s="46"/>
      <c r="AE93" s="45"/>
      <c r="AF93" s="45"/>
      <c r="AG93" s="45"/>
      <c r="AH93" s="45"/>
    </row>
    <row r="94" spans="1:34" ht="22.95" customHeight="1" x14ac:dyDescent="0.3">
      <c r="A94" s="37"/>
      <c r="B94" s="38"/>
      <c r="C94" s="39"/>
      <c r="D94" s="40" t="str">
        <f t="shared" ref="D94:AH94" si="9">IF(WEEKDAY(D$3)=2,_xlfn.ISOWEEKNUM(D$3),"")</f>
        <v/>
      </c>
      <c r="E94" s="40" t="str">
        <f t="shared" si="9"/>
        <v/>
      </c>
      <c r="F94" s="40" t="str">
        <f t="shared" si="9"/>
        <v/>
      </c>
      <c r="G94" s="40" t="str">
        <f t="shared" si="9"/>
        <v/>
      </c>
      <c r="H94" s="41" t="str">
        <f t="shared" si="9"/>
        <v/>
      </c>
      <c r="I94" s="41" t="str">
        <f t="shared" si="9"/>
        <v/>
      </c>
      <c r="J94" s="40">
        <f t="shared" si="9"/>
        <v>50</v>
      </c>
      <c r="K94" s="40" t="str">
        <f t="shared" si="9"/>
        <v/>
      </c>
      <c r="L94" s="40" t="str">
        <f t="shared" si="9"/>
        <v/>
      </c>
      <c r="M94" s="40" t="str">
        <f t="shared" si="9"/>
        <v/>
      </c>
      <c r="N94" s="40" t="str">
        <f t="shared" si="9"/>
        <v/>
      </c>
      <c r="O94" s="41" t="str">
        <f t="shared" si="9"/>
        <v/>
      </c>
      <c r="P94" s="42" t="str">
        <f t="shared" si="9"/>
        <v/>
      </c>
      <c r="Q94" s="40">
        <f t="shared" si="9"/>
        <v>51</v>
      </c>
      <c r="R94" s="40" t="str">
        <f t="shared" si="9"/>
        <v/>
      </c>
      <c r="S94" s="40" t="str">
        <f t="shared" si="9"/>
        <v/>
      </c>
      <c r="T94" s="40" t="str">
        <f t="shared" si="9"/>
        <v/>
      </c>
      <c r="U94" s="40" t="str">
        <f t="shared" si="9"/>
        <v/>
      </c>
      <c r="V94" s="41" t="str">
        <f t="shared" si="9"/>
        <v/>
      </c>
      <c r="W94" s="41" t="str">
        <f t="shared" si="9"/>
        <v/>
      </c>
      <c r="X94" s="40">
        <f t="shared" si="9"/>
        <v>52</v>
      </c>
      <c r="Y94" s="40" t="str">
        <f t="shared" si="9"/>
        <v/>
      </c>
      <c r="Z94" s="40" t="str">
        <f t="shared" si="9"/>
        <v/>
      </c>
      <c r="AA94" s="40" t="str">
        <f t="shared" si="9"/>
        <v/>
      </c>
      <c r="AB94" s="41" t="str">
        <f t="shared" si="9"/>
        <v/>
      </c>
      <c r="AC94" s="41" t="str">
        <f t="shared" si="9"/>
        <v/>
      </c>
      <c r="AD94" s="41" t="str">
        <f t="shared" si="9"/>
        <v/>
      </c>
      <c r="AE94" s="40">
        <f t="shared" si="9"/>
        <v>53</v>
      </c>
      <c r="AF94" s="40" t="str">
        <f t="shared" si="9"/>
        <v/>
      </c>
      <c r="AG94" s="40" t="str">
        <f t="shared" si="9"/>
        <v/>
      </c>
      <c r="AH94" s="40" t="str">
        <f t="shared" si="9"/>
        <v/>
      </c>
    </row>
    <row r="95" spans="1:34" ht="22.95" customHeight="1" x14ac:dyDescent="0.3">
      <c r="A95" s="44"/>
      <c r="B95" s="38"/>
      <c r="C95" s="39"/>
      <c r="D95" s="45"/>
      <c r="E95" s="45"/>
      <c r="F95" s="45"/>
      <c r="G95" s="45"/>
      <c r="H95" s="46"/>
      <c r="I95" s="46"/>
      <c r="J95" s="45"/>
      <c r="K95" s="45"/>
      <c r="L95" s="45"/>
      <c r="M95" s="45"/>
      <c r="N95" s="45"/>
      <c r="O95" s="46"/>
      <c r="P95" s="47"/>
      <c r="Q95" s="45"/>
      <c r="R95" s="45"/>
      <c r="S95" s="45"/>
      <c r="T95" s="45"/>
      <c r="U95" s="45"/>
      <c r="V95" s="46"/>
      <c r="W95" s="46"/>
      <c r="X95" s="45"/>
      <c r="Y95" s="45"/>
      <c r="Z95" s="45"/>
      <c r="AA95" s="45"/>
      <c r="AB95" s="46"/>
      <c r="AC95" s="46"/>
      <c r="AD95" s="46"/>
      <c r="AE95" s="45"/>
      <c r="AF95" s="45"/>
      <c r="AG95" s="45"/>
      <c r="AH95" s="45"/>
    </row>
    <row r="96" spans="1:34" ht="22.95" customHeight="1" x14ac:dyDescent="0.3">
      <c r="A96" s="48"/>
      <c r="B96" s="38"/>
      <c r="C96" s="39"/>
      <c r="D96" s="45"/>
      <c r="E96" s="45"/>
      <c r="F96" s="45"/>
      <c r="G96" s="45"/>
      <c r="H96" s="46"/>
      <c r="I96" s="46"/>
      <c r="J96" s="45"/>
      <c r="K96" s="45"/>
      <c r="L96" s="45"/>
      <c r="M96" s="45"/>
      <c r="N96" s="45"/>
      <c r="O96" s="46"/>
      <c r="P96" s="47"/>
      <c r="Q96" s="45"/>
      <c r="R96" s="45"/>
      <c r="S96" s="45"/>
      <c r="T96" s="45"/>
      <c r="U96" s="45"/>
      <c r="V96" s="46"/>
      <c r="W96" s="46"/>
      <c r="X96" s="45"/>
      <c r="Y96" s="45"/>
      <c r="Z96" s="45"/>
      <c r="AA96" s="45"/>
      <c r="AB96" s="46"/>
      <c r="AC96" s="46"/>
      <c r="AD96" s="46"/>
      <c r="AE96" s="45"/>
      <c r="AF96" s="45"/>
      <c r="AG96" s="45"/>
      <c r="AH96" s="45"/>
    </row>
    <row r="97" spans="1:34" ht="22.95" customHeight="1" x14ac:dyDescent="0.3">
      <c r="A97" s="50"/>
      <c r="B97" s="38"/>
      <c r="C97" s="39"/>
      <c r="D97" s="45"/>
      <c r="E97" s="45"/>
      <c r="F97" s="45"/>
      <c r="G97" s="45"/>
      <c r="H97" s="46"/>
      <c r="I97" s="46"/>
      <c r="J97" s="45"/>
      <c r="K97" s="45"/>
      <c r="L97" s="45"/>
      <c r="M97" s="45"/>
      <c r="N97" s="45"/>
      <c r="O97" s="46"/>
      <c r="P97" s="47"/>
      <c r="Q97" s="45"/>
      <c r="R97" s="45"/>
      <c r="S97" s="45"/>
      <c r="T97" s="45"/>
      <c r="U97" s="45"/>
      <c r="V97" s="46"/>
      <c r="W97" s="46"/>
      <c r="X97" s="45"/>
      <c r="Y97" s="45"/>
      <c r="Z97" s="45"/>
      <c r="AA97" s="45"/>
      <c r="AB97" s="46"/>
      <c r="AC97" s="46"/>
      <c r="AD97" s="46"/>
      <c r="AE97" s="45"/>
      <c r="AF97" s="45"/>
      <c r="AG97" s="45"/>
      <c r="AH97" s="45"/>
    </row>
    <row r="98" spans="1:34" ht="22.95" customHeight="1" x14ac:dyDescent="0.3">
      <c r="A98" s="49"/>
      <c r="B98" s="38"/>
      <c r="C98" s="39"/>
      <c r="D98" s="45"/>
      <c r="E98" s="45"/>
      <c r="F98" s="45"/>
      <c r="G98" s="45"/>
      <c r="H98" s="46"/>
      <c r="I98" s="46"/>
      <c r="J98" s="45"/>
      <c r="K98" s="45"/>
      <c r="L98" s="45"/>
      <c r="M98" s="45"/>
      <c r="N98" s="45"/>
      <c r="O98" s="46"/>
      <c r="P98" s="47"/>
      <c r="Q98" s="45"/>
      <c r="R98" s="45"/>
      <c r="S98" s="45"/>
      <c r="T98" s="45"/>
      <c r="U98" s="45"/>
      <c r="V98" s="46"/>
      <c r="W98" s="46"/>
      <c r="X98" s="45"/>
      <c r="Y98" s="45"/>
      <c r="Z98" s="45"/>
      <c r="AA98" s="45"/>
      <c r="AB98" s="46"/>
      <c r="AC98" s="46"/>
      <c r="AD98" s="46"/>
      <c r="AE98" s="45"/>
      <c r="AF98" s="45"/>
      <c r="AG98" s="45"/>
      <c r="AH98" s="45"/>
    </row>
    <row r="99" spans="1:34" ht="22.95" customHeight="1" x14ac:dyDescent="0.3">
      <c r="A99" s="37"/>
      <c r="B99" s="38"/>
      <c r="C99" s="39"/>
      <c r="D99" s="45"/>
      <c r="E99" s="45"/>
      <c r="F99" s="45"/>
      <c r="G99" s="45"/>
      <c r="H99" s="46"/>
      <c r="I99" s="46"/>
      <c r="J99" s="45"/>
      <c r="K99" s="45"/>
      <c r="L99" s="45"/>
      <c r="M99" s="45"/>
      <c r="N99" s="45"/>
      <c r="O99" s="46"/>
      <c r="P99" s="47"/>
      <c r="Q99" s="45"/>
      <c r="R99" s="45"/>
      <c r="S99" s="45"/>
      <c r="T99" s="45"/>
      <c r="U99" s="45"/>
      <c r="V99" s="46"/>
      <c r="W99" s="46"/>
      <c r="X99" s="45"/>
      <c r="Y99" s="45"/>
      <c r="Z99" s="45"/>
      <c r="AA99" s="45"/>
      <c r="AB99" s="46"/>
      <c r="AC99" s="46"/>
      <c r="AD99" s="46"/>
      <c r="AE99" s="45"/>
      <c r="AF99" s="45"/>
      <c r="AG99" s="45"/>
      <c r="AH99" s="45"/>
    </row>
    <row r="100" spans="1:34" ht="22.95" customHeight="1" x14ac:dyDescent="0.3">
      <c r="A100" s="44"/>
      <c r="B100" s="38"/>
      <c r="C100" s="39"/>
      <c r="D100" s="45"/>
      <c r="E100" s="45"/>
      <c r="F100" s="45"/>
      <c r="G100" s="45"/>
      <c r="H100" s="46"/>
      <c r="I100" s="46"/>
      <c r="J100" s="45"/>
      <c r="K100" s="45"/>
      <c r="L100" s="45"/>
      <c r="M100" s="45"/>
      <c r="N100" s="45"/>
      <c r="O100" s="46"/>
      <c r="P100" s="47"/>
      <c r="Q100" s="45"/>
      <c r="R100" s="45"/>
      <c r="S100" s="45"/>
      <c r="T100" s="45"/>
      <c r="U100" s="45"/>
      <c r="V100" s="46"/>
      <c r="W100" s="46"/>
      <c r="X100" s="45"/>
      <c r="Y100" s="45"/>
      <c r="Z100" s="45"/>
      <c r="AA100" s="45"/>
      <c r="AB100" s="46"/>
      <c r="AC100" s="46"/>
      <c r="AD100" s="46"/>
      <c r="AE100" s="45"/>
      <c r="AF100" s="45"/>
      <c r="AG100" s="45"/>
      <c r="AH100" s="45"/>
    </row>
    <row r="101" spans="1:34" ht="22.95" customHeight="1" x14ac:dyDescent="0.3">
      <c r="A101" s="48"/>
      <c r="B101" s="38"/>
      <c r="C101" s="39"/>
      <c r="D101" s="45"/>
      <c r="E101" s="45"/>
      <c r="F101" s="45"/>
      <c r="G101" s="45"/>
      <c r="H101" s="46"/>
      <c r="I101" s="46"/>
      <c r="J101" s="45"/>
      <c r="K101" s="45"/>
      <c r="L101" s="45"/>
      <c r="M101" s="45"/>
      <c r="N101" s="45"/>
      <c r="O101" s="46"/>
      <c r="P101" s="47"/>
      <c r="Q101" s="45"/>
      <c r="R101" s="45"/>
      <c r="S101" s="45"/>
      <c r="T101" s="45"/>
      <c r="U101" s="45"/>
      <c r="V101" s="46"/>
      <c r="W101" s="46"/>
      <c r="X101" s="45"/>
      <c r="Y101" s="45"/>
      <c r="Z101" s="45"/>
      <c r="AA101" s="45"/>
      <c r="AB101" s="46"/>
      <c r="AC101" s="46"/>
      <c r="AD101" s="46"/>
      <c r="AE101" s="45"/>
      <c r="AF101" s="45"/>
      <c r="AG101" s="45"/>
      <c r="AH101" s="45"/>
    </row>
    <row r="102" spans="1:34" ht="22.95" customHeight="1" x14ac:dyDescent="0.3">
      <c r="A102" s="50"/>
      <c r="B102" s="38"/>
      <c r="C102" s="39"/>
      <c r="D102" s="45"/>
      <c r="E102" s="45"/>
      <c r="F102" s="45"/>
      <c r="G102" s="45"/>
      <c r="H102" s="46"/>
      <c r="I102" s="46"/>
      <c r="J102" s="45"/>
      <c r="K102" s="45"/>
      <c r="L102" s="45"/>
      <c r="M102" s="45"/>
      <c r="N102" s="45"/>
      <c r="O102" s="46"/>
      <c r="P102" s="47"/>
      <c r="Q102" s="45"/>
      <c r="R102" s="45"/>
      <c r="S102" s="45"/>
      <c r="T102" s="45"/>
      <c r="U102" s="45"/>
      <c r="V102" s="46"/>
      <c r="W102" s="46"/>
      <c r="X102" s="45"/>
      <c r="Y102" s="45"/>
      <c r="Z102" s="45"/>
      <c r="AA102" s="45"/>
      <c r="AB102" s="46"/>
      <c r="AC102" s="46"/>
      <c r="AD102" s="46"/>
      <c r="AE102" s="45"/>
      <c r="AF102" s="45"/>
      <c r="AG102" s="45"/>
      <c r="AH102" s="45"/>
    </row>
    <row r="103" spans="1:34" ht="22.95" customHeight="1" x14ac:dyDescent="0.3">
      <c r="A103" s="49"/>
      <c r="B103" s="38"/>
      <c r="C103" s="39"/>
      <c r="D103" s="45"/>
      <c r="E103" s="45"/>
      <c r="F103" s="45"/>
      <c r="G103" s="45"/>
      <c r="H103" s="46"/>
      <c r="I103" s="46"/>
      <c r="J103" s="45"/>
      <c r="K103" s="45"/>
      <c r="L103" s="45"/>
      <c r="M103" s="45"/>
      <c r="N103" s="45"/>
      <c r="O103" s="46"/>
      <c r="P103" s="47"/>
      <c r="Q103" s="45"/>
      <c r="R103" s="45"/>
      <c r="S103" s="45"/>
      <c r="T103" s="45"/>
      <c r="U103" s="45"/>
      <c r="V103" s="46"/>
      <c r="W103" s="46"/>
      <c r="X103" s="45"/>
      <c r="Y103" s="45"/>
      <c r="Z103" s="45"/>
      <c r="AA103" s="45"/>
      <c r="AB103" s="46"/>
      <c r="AC103" s="46"/>
      <c r="AD103" s="46"/>
      <c r="AE103" s="45"/>
      <c r="AF103" s="45"/>
      <c r="AG103" s="45"/>
      <c r="AH103" s="45"/>
    </row>
    <row r="104" spans="1:34" ht="22.95" customHeight="1" x14ac:dyDescent="0.3">
      <c r="A104" s="37"/>
      <c r="B104" s="38"/>
      <c r="C104" s="39"/>
      <c r="D104" s="40" t="str">
        <f t="shared" ref="D104:AH104" si="10">IF(WEEKDAY(D$3)=2,_xlfn.ISOWEEKNUM(D$3),"")</f>
        <v/>
      </c>
      <c r="E104" s="40" t="str">
        <f t="shared" si="10"/>
        <v/>
      </c>
      <c r="F104" s="40" t="str">
        <f t="shared" si="10"/>
        <v/>
      </c>
      <c r="G104" s="40" t="str">
        <f t="shared" si="10"/>
        <v/>
      </c>
      <c r="H104" s="41" t="str">
        <f t="shared" si="10"/>
        <v/>
      </c>
      <c r="I104" s="41" t="str">
        <f t="shared" si="10"/>
        <v/>
      </c>
      <c r="J104" s="40">
        <f t="shared" si="10"/>
        <v>50</v>
      </c>
      <c r="K104" s="40" t="str">
        <f t="shared" si="10"/>
        <v/>
      </c>
      <c r="L104" s="40" t="str">
        <f t="shared" si="10"/>
        <v/>
      </c>
      <c r="M104" s="40" t="str">
        <f t="shared" si="10"/>
        <v/>
      </c>
      <c r="N104" s="40" t="str">
        <f t="shared" si="10"/>
        <v/>
      </c>
      <c r="O104" s="41" t="str">
        <f t="shared" si="10"/>
        <v/>
      </c>
      <c r="P104" s="42" t="str">
        <f t="shared" si="10"/>
        <v/>
      </c>
      <c r="Q104" s="40">
        <f t="shared" si="10"/>
        <v>51</v>
      </c>
      <c r="R104" s="40" t="str">
        <f t="shared" si="10"/>
        <v/>
      </c>
      <c r="S104" s="40" t="str">
        <f t="shared" si="10"/>
        <v/>
      </c>
      <c r="T104" s="40" t="str">
        <f t="shared" si="10"/>
        <v/>
      </c>
      <c r="U104" s="40" t="str">
        <f t="shared" si="10"/>
        <v/>
      </c>
      <c r="V104" s="41" t="str">
        <f t="shared" si="10"/>
        <v/>
      </c>
      <c r="W104" s="41" t="str">
        <f t="shared" si="10"/>
        <v/>
      </c>
      <c r="X104" s="40">
        <f t="shared" si="10"/>
        <v>52</v>
      </c>
      <c r="Y104" s="40" t="str">
        <f t="shared" si="10"/>
        <v/>
      </c>
      <c r="Z104" s="40" t="str">
        <f t="shared" si="10"/>
        <v/>
      </c>
      <c r="AA104" s="40" t="str">
        <f t="shared" si="10"/>
        <v/>
      </c>
      <c r="AB104" s="41" t="str">
        <f t="shared" si="10"/>
        <v/>
      </c>
      <c r="AC104" s="41" t="str">
        <f t="shared" si="10"/>
        <v/>
      </c>
      <c r="AD104" s="41" t="str">
        <f t="shared" si="10"/>
        <v/>
      </c>
      <c r="AE104" s="40">
        <f t="shared" si="10"/>
        <v>53</v>
      </c>
      <c r="AF104" s="40" t="str">
        <f t="shared" si="10"/>
        <v/>
      </c>
      <c r="AG104" s="40" t="str">
        <f t="shared" si="10"/>
        <v/>
      </c>
      <c r="AH104" s="40" t="str">
        <f t="shared" si="10"/>
        <v/>
      </c>
    </row>
    <row r="105" spans="1:34" ht="22.95" customHeight="1" x14ac:dyDescent="0.3">
      <c r="A105" s="44"/>
      <c r="B105" s="38"/>
      <c r="C105" s="39"/>
      <c r="D105" s="45"/>
      <c r="E105" s="45"/>
      <c r="F105" s="45"/>
      <c r="G105" s="45"/>
      <c r="H105" s="46"/>
      <c r="I105" s="46"/>
      <c r="J105" s="45"/>
      <c r="K105" s="45"/>
      <c r="L105" s="45"/>
      <c r="M105" s="45"/>
      <c r="N105" s="45"/>
      <c r="O105" s="46"/>
      <c r="P105" s="47"/>
      <c r="Q105" s="45"/>
      <c r="R105" s="45"/>
      <c r="S105" s="45"/>
      <c r="T105" s="45"/>
      <c r="U105" s="45"/>
      <c r="V105" s="46"/>
      <c r="W105" s="46"/>
      <c r="X105" s="45"/>
      <c r="Y105" s="45"/>
      <c r="Z105" s="45"/>
      <c r="AA105" s="45"/>
      <c r="AB105" s="46"/>
      <c r="AC105" s="46"/>
      <c r="AD105" s="46"/>
      <c r="AE105" s="45"/>
      <c r="AF105" s="45"/>
      <c r="AG105" s="45"/>
      <c r="AH105" s="45"/>
    </row>
    <row r="106" spans="1:34" ht="22.95" customHeight="1" x14ac:dyDescent="0.3">
      <c r="A106" s="48"/>
      <c r="B106" s="38"/>
      <c r="C106" s="39"/>
      <c r="D106" s="45"/>
      <c r="E106" s="45"/>
      <c r="F106" s="45"/>
      <c r="G106" s="45"/>
      <c r="H106" s="46"/>
      <c r="I106" s="46"/>
      <c r="J106" s="45"/>
      <c r="K106" s="45"/>
      <c r="L106" s="45"/>
      <c r="M106" s="45"/>
      <c r="N106" s="45"/>
      <c r="O106" s="46"/>
      <c r="P106" s="47"/>
      <c r="Q106" s="45"/>
      <c r="R106" s="45"/>
      <c r="S106" s="45"/>
      <c r="T106" s="45"/>
      <c r="U106" s="45"/>
      <c r="V106" s="46"/>
      <c r="W106" s="46"/>
      <c r="X106" s="45"/>
      <c r="Y106" s="45"/>
      <c r="Z106" s="45"/>
      <c r="AA106" s="45"/>
      <c r="AB106" s="46"/>
      <c r="AC106" s="46"/>
      <c r="AD106" s="46"/>
      <c r="AE106" s="45"/>
      <c r="AF106" s="45"/>
      <c r="AG106" s="45"/>
      <c r="AH106" s="45"/>
    </row>
    <row r="107" spans="1:34" ht="22.95" customHeight="1" x14ac:dyDescent="0.3">
      <c r="A107" s="50"/>
      <c r="B107" s="38"/>
      <c r="C107" s="39"/>
      <c r="D107" s="45"/>
      <c r="E107" s="45"/>
      <c r="F107" s="45"/>
      <c r="G107" s="45"/>
      <c r="H107" s="46"/>
      <c r="I107" s="46"/>
      <c r="J107" s="45"/>
      <c r="K107" s="45"/>
      <c r="L107" s="45"/>
      <c r="M107" s="45"/>
      <c r="N107" s="45"/>
      <c r="O107" s="46"/>
      <c r="P107" s="47"/>
      <c r="Q107" s="45"/>
      <c r="R107" s="45"/>
      <c r="S107" s="45"/>
      <c r="T107" s="45"/>
      <c r="U107" s="45"/>
      <c r="V107" s="46"/>
      <c r="W107" s="46"/>
      <c r="X107" s="45"/>
      <c r="Y107" s="45"/>
      <c r="Z107" s="45"/>
      <c r="AA107" s="45"/>
      <c r="AB107" s="46"/>
      <c r="AC107" s="46"/>
      <c r="AD107" s="46"/>
      <c r="AE107" s="45"/>
      <c r="AF107" s="45"/>
      <c r="AG107" s="45"/>
      <c r="AH107" s="45"/>
    </row>
    <row r="108" spans="1:34" ht="22.95" customHeight="1" x14ac:dyDescent="0.3">
      <c r="A108" s="49"/>
      <c r="B108" s="38"/>
      <c r="C108" s="39"/>
      <c r="D108" s="45"/>
      <c r="E108" s="45"/>
      <c r="F108" s="45"/>
      <c r="G108" s="45"/>
      <c r="H108" s="46"/>
      <c r="I108" s="46"/>
      <c r="J108" s="45"/>
      <c r="K108" s="45"/>
      <c r="L108" s="45"/>
      <c r="M108" s="45"/>
      <c r="N108" s="45"/>
      <c r="O108" s="46"/>
      <c r="P108" s="47"/>
      <c r="Q108" s="45"/>
      <c r="R108" s="45"/>
      <c r="S108" s="45"/>
      <c r="T108" s="45"/>
      <c r="U108" s="45"/>
      <c r="V108" s="46"/>
      <c r="W108" s="46"/>
      <c r="X108" s="45"/>
      <c r="Y108" s="45"/>
      <c r="Z108" s="45"/>
      <c r="AA108" s="45"/>
      <c r="AB108" s="46"/>
      <c r="AC108" s="46"/>
      <c r="AD108" s="46"/>
      <c r="AE108" s="45"/>
      <c r="AF108" s="45"/>
      <c r="AG108" s="45"/>
      <c r="AH108" s="45"/>
    </row>
    <row r="109" spans="1:34" ht="22.95" customHeight="1" x14ac:dyDescent="0.3">
      <c r="A109" s="37"/>
      <c r="B109" s="38"/>
      <c r="C109" s="39"/>
      <c r="D109" s="45"/>
      <c r="E109" s="45"/>
      <c r="F109" s="45"/>
      <c r="G109" s="45"/>
      <c r="H109" s="46"/>
      <c r="I109" s="46"/>
      <c r="J109" s="45"/>
      <c r="K109" s="45"/>
      <c r="L109" s="45"/>
      <c r="M109" s="45"/>
      <c r="N109" s="45"/>
      <c r="O109" s="46"/>
      <c r="P109" s="47"/>
      <c r="Q109" s="45"/>
      <c r="R109" s="45"/>
      <c r="S109" s="45"/>
      <c r="T109" s="45"/>
      <c r="U109" s="45"/>
      <c r="V109" s="46"/>
      <c r="W109" s="46"/>
      <c r="X109" s="45"/>
      <c r="Y109" s="45"/>
      <c r="Z109" s="45"/>
      <c r="AA109" s="45"/>
      <c r="AB109" s="46"/>
      <c r="AC109" s="46"/>
      <c r="AD109" s="46"/>
      <c r="AE109" s="45"/>
      <c r="AF109" s="45"/>
      <c r="AG109" s="45"/>
      <c r="AH109" s="45"/>
    </row>
    <row r="110" spans="1:34" ht="22.95" customHeight="1" x14ac:dyDescent="0.3">
      <c r="A110" s="44"/>
      <c r="B110" s="38"/>
      <c r="C110" s="39"/>
      <c r="D110" s="45"/>
      <c r="E110" s="45"/>
      <c r="F110" s="45"/>
      <c r="G110" s="45"/>
      <c r="H110" s="46"/>
      <c r="I110" s="46"/>
      <c r="J110" s="45"/>
      <c r="K110" s="45"/>
      <c r="L110" s="45"/>
      <c r="M110" s="45"/>
      <c r="N110" s="45"/>
      <c r="O110" s="46"/>
      <c r="P110" s="47"/>
      <c r="Q110" s="45"/>
      <c r="R110" s="45"/>
      <c r="S110" s="45"/>
      <c r="T110" s="45"/>
      <c r="U110" s="45"/>
      <c r="V110" s="46"/>
      <c r="W110" s="46"/>
      <c r="X110" s="45"/>
      <c r="Y110" s="45"/>
      <c r="Z110" s="45"/>
      <c r="AA110" s="45"/>
      <c r="AB110" s="46"/>
      <c r="AC110" s="46"/>
      <c r="AD110" s="46"/>
      <c r="AE110" s="45"/>
      <c r="AF110" s="45"/>
      <c r="AG110" s="45"/>
      <c r="AH110" s="45"/>
    </row>
    <row r="111" spans="1:34" ht="22.95" customHeight="1" x14ac:dyDescent="0.3">
      <c r="A111" s="48"/>
      <c r="B111" s="38"/>
      <c r="C111" s="39"/>
      <c r="D111" s="45"/>
      <c r="E111" s="45"/>
      <c r="F111" s="45"/>
      <c r="G111" s="45"/>
      <c r="H111" s="46"/>
      <c r="I111" s="46"/>
      <c r="J111" s="45"/>
      <c r="K111" s="45"/>
      <c r="L111" s="45"/>
      <c r="M111" s="45"/>
      <c r="N111" s="45"/>
      <c r="O111" s="46"/>
      <c r="P111" s="47"/>
      <c r="Q111" s="45"/>
      <c r="R111" s="45"/>
      <c r="S111" s="45"/>
      <c r="T111" s="45"/>
      <c r="U111" s="45"/>
      <c r="V111" s="46"/>
      <c r="W111" s="46"/>
      <c r="X111" s="45"/>
      <c r="Y111" s="45"/>
      <c r="Z111" s="45"/>
      <c r="AA111" s="45"/>
      <c r="AB111" s="46"/>
      <c r="AC111" s="46"/>
      <c r="AD111" s="46"/>
      <c r="AE111" s="45"/>
      <c r="AF111" s="45"/>
      <c r="AG111" s="45"/>
      <c r="AH111" s="45"/>
    </row>
    <row r="112" spans="1:34" ht="22.95" customHeight="1" x14ac:dyDescent="0.3">
      <c r="A112" s="50"/>
      <c r="B112" s="38"/>
      <c r="C112" s="39"/>
      <c r="D112" s="45"/>
      <c r="E112" s="45"/>
      <c r="F112" s="45"/>
      <c r="G112" s="45"/>
      <c r="H112" s="46"/>
      <c r="I112" s="46"/>
      <c r="J112" s="45"/>
      <c r="K112" s="45"/>
      <c r="L112" s="45"/>
      <c r="M112" s="45"/>
      <c r="N112" s="45"/>
      <c r="O112" s="46"/>
      <c r="P112" s="47"/>
      <c r="Q112" s="45"/>
      <c r="R112" s="45"/>
      <c r="S112" s="45"/>
      <c r="T112" s="45"/>
      <c r="U112" s="45"/>
      <c r="V112" s="46"/>
      <c r="W112" s="46"/>
      <c r="X112" s="45"/>
      <c r="Y112" s="45"/>
      <c r="Z112" s="45"/>
      <c r="AA112" s="45"/>
      <c r="AB112" s="46"/>
      <c r="AC112" s="46"/>
      <c r="AD112" s="46"/>
      <c r="AE112" s="45"/>
      <c r="AF112" s="45"/>
      <c r="AG112" s="45"/>
      <c r="AH112" s="45"/>
    </row>
    <row r="113" spans="1:375" ht="22.95" customHeight="1" x14ac:dyDescent="0.3">
      <c r="A113" s="49"/>
      <c r="B113" s="38"/>
      <c r="C113" s="39"/>
      <c r="D113" s="45"/>
      <c r="E113" s="45"/>
      <c r="F113" s="45"/>
      <c r="G113" s="45"/>
      <c r="H113" s="46"/>
      <c r="I113" s="46"/>
      <c r="J113" s="45"/>
      <c r="K113" s="45"/>
      <c r="L113" s="45"/>
      <c r="M113" s="45"/>
      <c r="N113" s="45"/>
      <c r="O113" s="46"/>
      <c r="P113" s="47"/>
      <c r="Q113" s="45"/>
      <c r="R113" s="45"/>
      <c r="S113" s="45"/>
      <c r="T113" s="45"/>
      <c r="U113" s="45"/>
      <c r="V113" s="46"/>
      <c r="W113" s="46"/>
      <c r="X113" s="45"/>
      <c r="Y113" s="45"/>
      <c r="Z113" s="45"/>
      <c r="AA113" s="45"/>
      <c r="AB113" s="46"/>
      <c r="AC113" s="46"/>
      <c r="AD113" s="46"/>
      <c r="AE113" s="45"/>
      <c r="AF113" s="45"/>
      <c r="AG113" s="45"/>
      <c r="AH113" s="45"/>
    </row>
    <row r="114" spans="1:375" ht="22.95" customHeight="1" x14ac:dyDescent="0.3">
      <c r="A114" s="37"/>
      <c r="B114" s="38"/>
      <c r="C114" s="39"/>
      <c r="D114" s="40" t="str">
        <f t="shared" ref="D114:AH114" si="11">IF(WEEKDAY(D$3)=2,_xlfn.ISOWEEKNUM(D$3),"")</f>
        <v/>
      </c>
      <c r="E114" s="40" t="str">
        <f t="shared" si="11"/>
        <v/>
      </c>
      <c r="F114" s="40" t="str">
        <f t="shared" si="11"/>
        <v/>
      </c>
      <c r="G114" s="40" t="str">
        <f t="shared" si="11"/>
        <v/>
      </c>
      <c r="H114" s="41" t="str">
        <f t="shared" si="11"/>
        <v/>
      </c>
      <c r="I114" s="41" t="str">
        <f t="shared" si="11"/>
        <v/>
      </c>
      <c r="J114" s="40">
        <f t="shared" si="11"/>
        <v>50</v>
      </c>
      <c r="K114" s="40" t="str">
        <f t="shared" si="11"/>
        <v/>
      </c>
      <c r="L114" s="40" t="str">
        <f t="shared" si="11"/>
        <v/>
      </c>
      <c r="M114" s="40" t="str">
        <f t="shared" si="11"/>
        <v/>
      </c>
      <c r="N114" s="40" t="str">
        <f t="shared" si="11"/>
        <v/>
      </c>
      <c r="O114" s="41" t="str">
        <f t="shared" si="11"/>
        <v/>
      </c>
      <c r="P114" s="42" t="str">
        <f t="shared" si="11"/>
        <v/>
      </c>
      <c r="Q114" s="40">
        <f t="shared" si="11"/>
        <v>51</v>
      </c>
      <c r="R114" s="40" t="str">
        <f t="shared" si="11"/>
        <v/>
      </c>
      <c r="S114" s="40" t="str">
        <f t="shared" si="11"/>
        <v/>
      </c>
      <c r="T114" s="40" t="str">
        <f t="shared" si="11"/>
        <v/>
      </c>
      <c r="U114" s="40" t="str">
        <f t="shared" si="11"/>
        <v/>
      </c>
      <c r="V114" s="41" t="str">
        <f t="shared" si="11"/>
        <v/>
      </c>
      <c r="W114" s="41" t="str">
        <f t="shared" si="11"/>
        <v/>
      </c>
      <c r="X114" s="40">
        <f t="shared" si="11"/>
        <v>52</v>
      </c>
      <c r="Y114" s="40" t="str">
        <f t="shared" si="11"/>
        <v/>
      </c>
      <c r="Z114" s="40" t="str">
        <f t="shared" si="11"/>
        <v/>
      </c>
      <c r="AA114" s="40" t="str">
        <f t="shared" si="11"/>
        <v/>
      </c>
      <c r="AB114" s="41" t="str">
        <f t="shared" si="11"/>
        <v/>
      </c>
      <c r="AC114" s="41" t="str">
        <f t="shared" si="11"/>
        <v/>
      </c>
      <c r="AD114" s="41" t="str">
        <f t="shared" si="11"/>
        <v/>
      </c>
      <c r="AE114" s="40">
        <f t="shared" si="11"/>
        <v>53</v>
      </c>
      <c r="AF114" s="40" t="str">
        <f t="shared" si="11"/>
        <v/>
      </c>
      <c r="AG114" s="40" t="str">
        <f t="shared" si="11"/>
        <v/>
      </c>
      <c r="AH114" s="40" t="str">
        <f t="shared" si="11"/>
        <v/>
      </c>
    </row>
    <row r="115" spans="1:375" ht="22.95" customHeight="1" x14ac:dyDescent="0.3">
      <c r="A115" s="44"/>
      <c r="B115" s="38"/>
      <c r="C115" s="39"/>
      <c r="D115" s="45"/>
      <c r="E115" s="45"/>
      <c r="F115" s="45"/>
      <c r="G115" s="45"/>
      <c r="H115" s="46"/>
      <c r="I115" s="46"/>
      <c r="J115" s="45"/>
      <c r="K115" s="45"/>
      <c r="L115" s="45"/>
      <c r="M115" s="45"/>
      <c r="N115" s="45"/>
      <c r="O115" s="46"/>
      <c r="P115" s="47"/>
      <c r="Q115" s="45"/>
      <c r="R115" s="45"/>
      <c r="S115" s="45"/>
      <c r="T115" s="45"/>
      <c r="U115" s="45"/>
      <c r="V115" s="46"/>
      <c r="W115" s="46"/>
      <c r="X115" s="45"/>
      <c r="Y115" s="45"/>
      <c r="Z115" s="45"/>
      <c r="AA115" s="45"/>
      <c r="AB115" s="46"/>
      <c r="AC115" s="46"/>
      <c r="AD115" s="46"/>
      <c r="AE115" s="45"/>
      <c r="AF115" s="45"/>
      <c r="AG115" s="45"/>
      <c r="AH115" s="45"/>
    </row>
    <row r="116" spans="1:375" ht="22.95" customHeight="1" x14ac:dyDescent="0.3">
      <c r="A116" s="48"/>
      <c r="B116" s="38"/>
      <c r="C116" s="39"/>
      <c r="D116" s="45"/>
      <c r="E116" s="45"/>
      <c r="F116" s="45"/>
      <c r="G116" s="45"/>
      <c r="H116" s="46"/>
      <c r="I116" s="46"/>
      <c r="J116" s="45"/>
      <c r="K116" s="45"/>
      <c r="L116" s="45"/>
      <c r="M116" s="45"/>
      <c r="N116" s="45"/>
      <c r="O116" s="46"/>
      <c r="P116" s="47"/>
      <c r="Q116" s="45"/>
      <c r="R116" s="45"/>
      <c r="S116" s="45"/>
      <c r="T116" s="45"/>
      <c r="U116" s="45"/>
      <c r="V116" s="46"/>
      <c r="W116" s="46"/>
      <c r="X116" s="45"/>
      <c r="Y116" s="45"/>
      <c r="Z116" s="45"/>
      <c r="AA116" s="45"/>
      <c r="AB116" s="46"/>
      <c r="AC116" s="46"/>
      <c r="AD116" s="46"/>
      <c r="AE116" s="45"/>
      <c r="AF116" s="45"/>
      <c r="AG116" s="45"/>
      <c r="AH116" s="45"/>
    </row>
    <row r="117" spans="1:375" ht="22.95" customHeight="1" x14ac:dyDescent="0.3">
      <c r="A117" s="50"/>
      <c r="B117" s="38"/>
      <c r="C117" s="39"/>
      <c r="D117" s="45"/>
      <c r="E117" s="45"/>
      <c r="F117" s="45"/>
      <c r="G117" s="45"/>
      <c r="H117" s="46"/>
      <c r="I117" s="46"/>
      <c r="J117" s="45"/>
      <c r="K117" s="45"/>
      <c r="L117" s="45"/>
      <c r="M117" s="45"/>
      <c r="N117" s="45"/>
      <c r="O117" s="46"/>
      <c r="P117" s="47"/>
      <c r="Q117" s="45"/>
      <c r="R117" s="45"/>
      <c r="S117" s="45"/>
      <c r="T117" s="45"/>
      <c r="U117" s="45"/>
      <c r="V117" s="46"/>
      <c r="W117" s="46"/>
      <c r="X117" s="45"/>
      <c r="Y117" s="45"/>
      <c r="Z117" s="45"/>
      <c r="AA117" s="45"/>
      <c r="AB117" s="46"/>
      <c r="AC117" s="46"/>
      <c r="AD117" s="46"/>
      <c r="AE117" s="45"/>
      <c r="AF117" s="45"/>
      <c r="AG117" s="45"/>
      <c r="AH117" s="45"/>
    </row>
    <row r="118" spans="1:375" ht="22.95" customHeight="1" x14ac:dyDescent="0.3">
      <c r="A118" s="49"/>
      <c r="B118" s="38"/>
      <c r="C118" s="39"/>
      <c r="D118" s="45"/>
      <c r="E118" s="45"/>
      <c r="F118" s="45"/>
      <c r="G118" s="45"/>
      <c r="H118" s="46"/>
      <c r="I118" s="46"/>
      <c r="J118" s="45"/>
      <c r="K118" s="45"/>
      <c r="L118" s="45"/>
      <c r="M118" s="45"/>
      <c r="N118" s="45"/>
      <c r="O118" s="46"/>
      <c r="P118" s="47"/>
      <c r="Q118" s="45"/>
      <c r="R118" s="45"/>
      <c r="S118" s="45"/>
      <c r="T118" s="45"/>
      <c r="U118" s="45"/>
      <c r="V118" s="46"/>
      <c r="W118" s="46"/>
      <c r="X118" s="45"/>
      <c r="Y118" s="45"/>
      <c r="Z118" s="45"/>
      <c r="AA118" s="45"/>
      <c r="AB118" s="46"/>
      <c r="AC118" s="46"/>
      <c r="AD118" s="46"/>
      <c r="AE118" s="45"/>
      <c r="AF118" s="45"/>
      <c r="AG118" s="45"/>
      <c r="AH118" s="45"/>
    </row>
    <row r="119" spans="1:375" ht="22.95" customHeight="1" x14ac:dyDescent="0.3">
      <c r="A119" s="37"/>
      <c r="B119" s="38"/>
      <c r="C119" s="39"/>
      <c r="D119" s="45"/>
      <c r="E119" s="45"/>
      <c r="F119" s="45"/>
      <c r="G119" s="45"/>
      <c r="H119" s="46"/>
      <c r="I119" s="46"/>
      <c r="J119" s="45"/>
      <c r="K119" s="45"/>
      <c r="L119" s="45"/>
      <c r="M119" s="45"/>
      <c r="N119" s="45"/>
      <c r="O119" s="46"/>
      <c r="P119" s="47"/>
      <c r="Q119" s="45"/>
      <c r="R119" s="45"/>
      <c r="S119" s="45"/>
      <c r="T119" s="45"/>
      <c r="U119" s="45"/>
      <c r="V119" s="46"/>
      <c r="W119" s="46"/>
      <c r="X119" s="45"/>
      <c r="Y119" s="45"/>
      <c r="Z119" s="45"/>
      <c r="AA119" s="45"/>
      <c r="AB119" s="46"/>
      <c r="AC119" s="46"/>
      <c r="AD119" s="46"/>
      <c r="AE119" s="45"/>
      <c r="AF119" s="45"/>
      <c r="AG119" s="45"/>
      <c r="AH119" s="45"/>
    </row>
    <row r="120" spans="1:375" ht="22.95" customHeight="1" x14ac:dyDescent="0.3">
      <c r="A120" s="44"/>
      <c r="B120" s="38"/>
      <c r="C120" s="39"/>
      <c r="D120" s="45"/>
      <c r="E120" s="45"/>
      <c r="F120" s="45"/>
      <c r="G120" s="45"/>
      <c r="H120" s="46"/>
      <c r="I120" s="46"/>
      <c r="J120" s="45"/>
      <c r="K120" s="45"/>
      <c r="L120" s="45"/>
      <c r="M120" s="45"/>
      <c r="N120" s="45"/>
      <c r="O120" s="46"/>
      <c r="P120" s="47"/>
      <c r="Q120" s="45"/>
      <c r="R120" s="45"/>
      <c r="S120" s="45"/>
      <c r="T120" s="45"/>
      <c r="U120" s="45"/>
      <c r="V120" s="46"/>
      <c r="W120" s="46"/>
      <c r="X120" s="45"/>
      <c r="Y120" s="45"/>
      <c r="Z120" s="45"/>
      <c r="AA120" s="45"/>
      <c r="AB120" s="46"/>
      <c r="AC120" s="46"/>
      <c r="AD120" s="46"/>
      <c r="AE120" s="45"/>
      <c r="AF120" s="45"/>
      <c r="AG120" s="45"/>
      <c r="AH120" s="45"/>
    </row>
    <row r="121" spans="1:375" ht="22.95" customHeight="1" x14ac:dyDescent="0.3">
      <c r="A121" s="48"/>
      <c r="B121" s="38"/>
      <c r="C121" s="39"/>
      <c r="D121" s="45"/>
      <c r="E121" s="45"/>
      <c r="F121" s="45"/>
      <c r="G121" s="45"/>
      <c r="H121" s="46"/>
      <c r="I121" s="46"/>
      <c r="J121" s="45"/>
      <c r="K121" s="45"/>
      <c r="L121" s="45"/>
      <c r="M121" s="45"/>
      <c r="N121" s="45"/>
      <c r="O121" s="46"/>
      <c r="P121" s="47"/>
      <c r="Q121" s="45"/>
      <c r="R121" s="45"/>
      <c r="S121" s="45"/>
      <c r="T121" s="45"/>
      <c r="U121" s="45"/>
      <c r="V121" s="46"/>
      <c r="W121" s="46"/>
      <c r="X121" s="45"/>
      <c r="Y121" s="45"/>
      <c r="Z121" s="45"/>
      <c r="AA121" s="45"/>
      <c r="AB121" s="46"/>
      <c r="AC121" s="46"/>
      <c r="AD121" s="46"/>
      <c r="AE121" s="45"/>
      <c r="AF121" s="45"/>
      <c r="AG121" s="45"/>
      <c r="AH121" s="45"/>
    </row>
    <row r="122" spans="1:375" ht="22.95" customHeight="1" x14ac:dyDescent="0.3">
      <c r="A122" s="50"/>
      <c r="B122" s="38"/>
      <c r="C122" s="39"/>
      <c r="D122" s="45"/>
      <c r="E122" s="45"/>
      <c r="F122" s="45"/>
      <c r="G122" s="45"/>
      <c r="H122" s="46"/>
      <c r="I122" s="46"/>
      <c r="J122" s="45"/>
      <c r="K122" s="45"/>
      <c r="L122" s="45"/>
      <c r="M122" s="45"/>
      <c r="N122" s="45"/>
      <c r="O122" s="46"/>
      <c r="P122" s="47"/>
      <c r="Q122" s="45"/>
      <c r="R122" s="45"/>
      <c r="S122" s="45"/>
      <c r="T122" s="45"/>
      <c r="U122" s="45"/>
      <c r="V122" s="46"/>
      <c r="W122" s="46"/>
      <c r="X122" s="45"/>
      <c r="Y122" s="45"/>
      <c r="Z122" s="45"/>
      <c r="AA122" s="45"/>
      <c r="AB122" s="46"/>
      <c r="AC122" s="46"/>
      <c r="AD122" s="46"/>
      <c r="AE122" s="45"/>
      <c r="AF122" s="45"/>
      <c r="AG122" s="45"/>
      <c r="AH122" s="45"/>
    </row>
    <row r="123" spans="1:375" ht="22.95" customHeight="1" x14ac:dyDescent="0.3">
      <c r="A123" s="49"/>
      <c r="B123" s="38"/>
      <c r="C123" s="39"/>
      <c r="D123" s="45"/>
      <c r="E123" s="45"/>
      <c r="F123" s="45"/>
      <c r="G123" s="45"/>
      <c r="H123" s="46"/>
      <c r="I123" s="46"/>
      <c r="J123" s="45"/>
      <c r="K123" s="45"/>
      <c r="L123" s="45"/>
      <c r="M123" s="45"/>
      <c r="N123" s="45"/>
      <c r="O123" s="46"/>
      <c r="P123" s="47"/>
      <c r="Q123" s="45"/>
      <c r="R123" s="45"/>
      <c r="S123" s="45"/>
      <c r="T123" s="45"/>
      <c r="U123" s="45"/>
      <c r="V123" s="46"/>
      <c r="W123" s="46"/>
      <c r="X123" s="45"/>
      <c r="Y123" s="45"/>
      <c r="Z123" s="45"/>
      <c r="AA123" s="45"/>
      <c r="AB123" s="46"/>
      <c r="AC123" s="46"/>
      <c r="AD123" s="46"/>
      <c r="AE123" s="45"/>
      <c r="AF123" s="45"/>
      <c r="AG123" s="45"/>
      <c r="AH123" s="45"/>
    </row>
    <row r="124" spans="1:375" ht="22.95" customHeight="1" x14ac:dyDescent="0.3">
      <c r="A124" s="37"/>
      <c r="B124" s="38"/>
      <c r="C124" s="39"/>
      <c r="D124" s="40" t="str">
        <f t="shared" ref="D124:AH124" si="12">IF(WEEKDAY(D$3)=2,_xlfn.ISOWEEKNUM(D$3),"")</f>
        <v/>
      </c>
      <c r="E124" s="40" t="str">
        <f t="shared" si="12"/>
        <v/>
      </c>
      <c r="F124" s="40" t="str">
        <f t="shared" si="12"/>
        <v/>
      </c>
      <c r="G124" s="40" t="str">
        <f t="shared" si="12"/>
        <v/>
      </c>
      <c r="H124" s="41" t="str">
        <f t="shared" si="12"/>
        <v/>
      </c>
      <c r="I124" s="41" t="str">
        <f t="shared" si="12"/>
        <v/>
      </c>
      <c r="J124" s="40">
        <f t="shared" si="12"/>
        <v>50</v>
      </c>
      <c r="K124" s="40" t="str">
        <f t="shared" si="12"/>
        <v/>
      </c>
      <c r="L124" s="40" t="str">
        <f t="shared" si="12"/>
        <v/>
      </c>
      <c r="M124" s="40" t="str">
        <f t="shared" si="12"/>
        <v/>
      </c>
      <c r="N124" s="40" t="str">
        <f t="shared" si="12"/>
        <v/>
      </c>
      <c r="O124" s="41" t="str">
        <f t="shared" si="12"/>
        <v/>
      </c>
      <c r="P124" s="42" t="str">
        <f t="shared" si="12"/>
        <v/>
      </c>
      <c r="Q124" s="40">
        <f t="shared" si="12"/>
        <v>51</v>
      </c>
      <c r="R124" s="40" t="str">
        <f t="shared" si="12"/>
        <v/>
      </c>
      <c r="S124" s="40" t="str">
        <f t="shared" si="12"/>
        <v/>
      </c>
      <c r="T124" s="40" t="str">
        <f t="shared" si="12"/>
        <v/>
      </c>
      <c r="U124" s="40" t="str">
        <f t="shared" si="12"/>
        <v/>
      </c>
      <c r="V124" s="41" t="str">
        <f t="shared" si="12"/>
        <v/>
      </c>
      <c r="W124" s="41" t="str">
        <f t="shared" si="12"/>
        <v/>
      </c>
      <c r="X124" s="40">
        <f t="shared" si="12"/>
        <v>52</v>
      </c>
      <c r="Y124" s="40" t="str">
        <f t="shared" si="12"/>
        <v/>
      </c>
      <c r="Z124" s="40" t="str">
        <f t="shared" si="12"/>
        <v/>
      </c>
      <c r="AA124" s="40" t="str">
        <f t="shared" si="12"/>
        <v/>
      </c>
      <c r="AB124" s="41" t="str">
        <f t="shared" si="12"/>
        <v/>
      </c>
      <c r="AC124" s="41" t="str">
        <f t="shared" si="12"/>
        <v/>
      </c>
      <c r="AD124" s="41" t="str">
        <f t="shared" si="12"/>
        <v/>
      </c>
      <c r="AE124" s="40">
        <f t="shared" si="12"/>
        <v>53</v>
      </c>
      <c r="AF124" s="40" t="str">
        <f t="shared" si="12"/>
        <v/>
      </c>
      <c r="AG124" s="40" t="str">
        <f t="shared" si="12"/>
        <v/>
      </c>
      <c r="AH124" s="40" t="str">
        <f t="shared" si="12"/>
        <v/>
      </c>
    </row>
    <row r="125" spans="1:375" ht="22.95" customHeight="1" x14ac:dyDescent="0.3">
      <c r="A125" s="44"/>
      <c r="B125" s="38"/>
      <c r="C125" s="39"/>
      <c r="D125" s="45"/>
      <c r="E125" s="45"/>
      <c r="F125" s="45"/>
      <c r="G125" s="45"/>
      <c r="H125" s="46"/>
      <c r="I125" s="46"/>
      <c r="J125" s="45"/>
      <c r="K125" s="45"/>
      <c r="L125" s="45"/>
      <c r="M125" s="45"/>
      <c r="N125" s="45"/>
      <c r="O125" s="46"/>
      <c r="P125" s="47"/>
      <c r="Q125" s="45"/>
      <c r="R125" s="45"/>
      <c r="S125" s="45"/>
      <c r="T125" s="45"/>
      <c r="U125" s="45"/>
      <c r="V125" s="46"/>
      <c r="W125" s="46"/>
      <c r="X125" s="45"/>
      <c r="Y125" s="45"/>
      <c r="Z125" s="45"/>
      <c r="AA125" s="45"/>
      <c r="AB125" s="46"/>
      <c r="AC125" s="46"/>
      <c r="AD125" s="46"/>
      <c r="AE125" s="45"/>
      <c r="AF125" s="45"/>
      <c r="AG125" s="45"/>
      <c r="AH125" s="45"/>
    </row>
    <row r="126" spans="1:375" x14ac:dyDescent="0.3"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  <c r="EX126" s="25"/>
      <c r="EY126" s="25"/>
      <c r="EZ126" s="25"/>
      <c r="FA126" s="25"/>
      <c r="FB126" s="25"/>
      <c r="FC126" s="25"/>
      <c r="FD126" s="25"/>
      <c r="FE126" s="25"/>
      <c r="FF126" s="25"/>
      <c r="FG126" s="25"/>
      <c r="FH126" s="25"/>
      <c r="FI126" s="25"/>
      <c r="FJ126" s="25"/>
      <c r="FK126" s="25"/>
      <c r="FL126" s="25"/>
      <c r="FM126" s="25"/>
      <c r="FN126" s="25"/>
      <c r="FO126" s="25"/>
      <c r="FP126" s="25"/>
      <c r="FQ126" s="25"/>
      <c r="FR126" s="25"/>
      <c r="FS126" s="25"/>
      <c r="FT126" s="25"/>
      <c r="FU126" s="25"/>
      <c r="FV126" s="25"/>
      <c r="FW126" s="25"/>
      <c r="FX126" s="25"/>
      <c r="FY126" s="25"/>
      <c r="FZ126" s="25"/>
      <c r="GA126" s="25"/>
      <c r="GB126" s="25"/>
      <c r="GC126" s="25"/>
      <c r="GD126" s="25"/>
      <c r="GE126" s="25"/>
      <c r="GF126" s="25"/>
      <c r="GG126" s="25"/>
      <c r="GH126" s="25"/>
      <c r="GI126" s="25"/>
      <c r="GJ126" s="25"/>
      <c r="GK126" s="25"/>
      <c r="GL126" s="25"/>
      <c r="GM126" s="25"/>
      <c r="GN126" s="25"/>
      <c r="GO126" s="25"/>
      <c r="GP126" s="25"/>
      <c r="GQ126" s="25"/>
      <c r="GR126" s="25"/>
      <c r="GS126" s="25"/>
      <c r="GT126" s="25"/>
      <c r="GU126" s="25"/>
      <c r="GV126" s="25"/>
      <c r="GW126" s="25"/>
      <c r="GX126" s="25"/>
      <c r="GY126" s="25"/>
      <c r="GZ126" s="25"/>
      <c r="HA126" s="25"/>
      <c r="HB126" s="25"/>
      <c r="HC126" s="25"/>
      <c r="HD126" s="25"/>
      <c r="HE126" s="25"/>
      <c r="HF126" s="25"/>
      <c r="HG126" s="25"/>
      <c r="HH126" s="25"/>
      <c r="HI126" s="25"/>
      <c r="HJ126" s="25"/>
      <c r="HK126" s="25"/>
      <c r="HL126" s="25"/>
      <c r="HM126" s="25"/>
      <c r="HN126" s="25"/>
      <c r="HO126" s="25"/>
      <c r="HP126" s="25"/>
      <c r="HQ126" s="25"/>
      <c r="HR126" s="25"/>
      <c r="HS126" s="25"/>
      <c r="HT126" s="25"/>
      <c r="HU126" s="25"/>
      <c r="HV126" s="25"/>
      <c r="HW126" s="25"/>
      <c r="HX126" s="25"/>
      <c r="HY126" s="25"/>
      <c r="HZ126" s="25"/>
      <c r="IA126" s="25"/>
      <c r="IB126" s="25"/>
      <c r="IC126" s="25"/>
      <c r="ID126" s="25"/>
      <c r="IE126" s="25"/>
      <c r="IF126" s="25"/>
      <c r="IG126" s="25"/>
      <c r="IH126" s="25"/>
      <c r="II126" s="25"/>
      <c r="IJ126" s="25"/>
      <c r="IK126" s="25"/>
      <c r="IL126" s="25"/>
      <c r="IM126" s="25"/>
      <c r="IN126" s="25"/>
      <c r="IO126" s="25"/>
      <c r="IP126" s="25"/>
      <c r="IQ126" s="25"/>
      <c r="IR126" s="25"/>
      <c r="IS126" s="25"/>
      <c r="IT126" s="25"/>
      <c r="IU126" s="25"/>
      <c r="IV126" s="25"/>
      <c r="IW126" s="25"/>
      <c r="IX126" s="25"/>
      <c r="IY126" s="25"/>
      <c r="IZ126" s="25"/>
      <c r="JA126" s="25"/>
      <c r="JB126" s="25"/>
      <c r="JC126" s="25"/>
      <c r="JD126" s="25"/>
      <c r="JE126" s="25"/>
      <c r="JF126" s="25"/>
      <c r="JG126" s="25"/>
      <c r="JH126" s="25"/>
      <c r="JI126" s="25"/>
      <c r="JJ126" s="25"/>
      <c r="JK126" s="25"/>
      <c r="JL126" s="25"/>
      <c r="JM126" s="25"/>
      <c r="JN126" s="25"/>
      <c r="JO126" s="25"/>
      <c r="JP126" s="25"/>
      <c r="JQ126" s="25"/>
      <c r="JR126" s="25"/>
      <c r="JS126" s="25"/>
      <c r="JT126" s="25"/>
      <c r="JU126" s="25"/>
      <c r="JV126" s="25"/>
      <c r="JW126" s="25"/>
      <c r="JX126" s="25"/>
      <c r="JY126" s="25"/>
      <c r="JZ126" s="25"/>
      <c r="KA126" s="25"/>
      <c r="KB126" s="25"/>
      <c r="KC126" s="25"/>
      <c r="KD126" s="25"/>
      <c r="KE126" s="25"/>
      <c r="KF126" s="25"/>
      <c r="KG126" s="25"/>
      <c r="KH126" s="25"/>
      <c r="KI126" s="25"/>
      <c r="KJ126" s="25"/>
      <c r="KK126" s="25"/>
      <c r="KL126" s="25"/>
      <c r="KM126" s="25"/>
      <c r="KN126" s="25"/>
      <c r="KO126" s="25"/>
      <c r="KP126" s="25"/>
      <c r="KQ126" s="25"/>
      <c r="KR126" s="25"/>
      <c r="KS126" s="25"/>
      <c r="KT126" s="25"/>
      <c r="KU126" s="25"/>
      <c r="KV126" s="25"/>
      <c r="KW126" s="25"/>
      <c r="KX126" s="25"/>
      <c r="KY126" s="25"/>
      <c r="KZ126" s="25"/>
      <c r="LA126" s="25"/>
      <c r="LB126" s="25"/>
      <c r="LC126" s="25"/>
      <c r="LD126" s="25"/>
      <c r="LE126" s="25"/>
      <c r="LF126" s="25"/>
      <c r="LG126" s="25"/>
      <c r="LH126" s="25"/>
      <c r="LI126" s="25"/>
      <c r="LJ126" s="25"/>
      <c r="LK126" s="25"/>
      <c r="LL126" s="25"/>
      <c r="LM126" s="25"/>
      <c r="LN126" s="25"/>
      <c r="LO126" s="25"/>
      <c r="LP126" s="25"/>
      <c r="LQ126" s="25"/>
      <c r="LR126" s="25"/>
      <c r="LS126" s="25"/>
      <c r="LT126" s="25"/>
      <c r="LU126" s="25"/>
      <c r="LV126" s="25"/>
      <c r="LW126" s="25"/>
      <c r="LX126" s="25"/>
      <c r="LY126" s="25"/>
      <c r="LZ126" s="25"/>
      <c r="MA126" s="25"/>
      <c r="MB126" s="25"/>
      <c r="MC126" s="25"/>
      <c r="MD126" s="25"/>
      <c r="ME126" s="25"/>
      <c r="MF126" s="25"/>
      <c r="MG126" s="25"/>
      <c r="MH126" s="25"/>
      <c r="MI126" s="25"/>
      <c r="MJ126" s="25"/>
      <c r="MK126" s="25"/>
      <c r="ML126" s="25"/>
      <c r="MM126" s="25"/>
      <c r="MN126" s="25"/>
      <c r="MO126" s="25"/>
      <c r="MP126" s="25"/>
      <c r="MQ126" s="25"/>
      <c r="MR126" s="25"/>
      <c r="MS126" s="25"/>
      <c r="MT126" s="25"/>
      <c r="MU126" s="25"/>
      <c r="MV126" s="25"/>
      <c r="MW126" s="25"/>
      <c r="MX126" s="25"/>
      <c r="MY126" s="25"/>
      <c r="MZ126" s="25"/>
      <c r="NA126" s="25"/>
      <c r="NB126" s="25"/>
      <c r="NC126" s="25"/>
      <c r="ND126" s="25"/>
      <c r="NE126" s="25"/>
      <c r="NF126" s="25"/>
      <c r="NG126" s="25"/>
      <c r="NH126" s="25"/>
      <c r="NI126" s="25"/>
      <c r="NJ126" s="25"/>
      <c r="NK126" s="25"/>
    </row>
    <row r="127" spans="1:375" x14ac:dyDescent="0.3"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  <c r="EX127" s="25"/>
      <c r="EY127" s="25"/>
      <c r="EZ127" s="25"/>
      <c r="FA127" s="25"/>
      <c r="FB127" s="25"/>
      <c r="FC127" s="25"/>
      <c r="FD127" s="25"/>
      <c r="FE127" s="25"/>
      <c r="FF127" s="25"/>
      <c r="FG127" s="25"/>
      <c r="FH127" s="25"/>
      <c r="FI127" s="25"/>
      <c r="FJ127" s="25"/>
      <c r="FK127" s="25"/>
      <c r="FL127" s="25"/>
      <c r="FM127" s="25"/>
      <c r="FN127" s="25"/>
      <c r="FO127" s="25"/>
      <c r="FP127" s="25"/>
      <c r="FQ127" s="25"/>
      <c r="FR127" s="25"/>
      <c r="FS127" s="25"/>
      <c r="FT127" s="25"/>
      <c r="FU127" s="25"/>
      <c r="FV127" s="25"/>
      <c r="FW127" s="25"/>
      <c r="FX127" s="25"/>
      <c r="FY127" s="25"/>
      <c r="FZ127" s="25"/>
      <c r="GA127" s="25"/>
      <c r="GB127" s="25"/>
      <c r="GC127" s="25"/>
      <c r="GD127" s="25"/>
      <c r="GE127" s="25"/>
      <c r="GF127" s="25"/>
      <c r="GG127" s="25"/>
      <c r="GH127" s="25"/>
      <c r="GI127" s="25"/>
      <c r="GJ127" s="25"/>
      <c r="GK127" s="25"/>
      <c r="GL127" s="25"/>
      <c r="GM127" s="25"/>
      <c r="GN127" s="25"/>
      <c r="GO127" s="25"/>
      <c r="GP127" s="25"/>
      <c r="GQ127" s="25"/>
      <c r="GR127" s="25"/>
      <c r="GS127" s="25"/>
      <c r="GT127" s="25"/>
      <c r="GU127" s="25"/>
      <c r="GV127" s="25"/>
      <c r="GW127" s="25"/>
      <c r="GX127" s="25"/>
      <c r="GY127" s="25"/>
      <c r="GZ127" s="25"/>
      <c r="HA127" s="25"/>
      <c r="HB127" s="25"/>
      <c r="HC127" s="25"/>
      <c r="HD127" s="25"/>
      <c r="HE127" s="25"/>
      <c r="HF127" s="25"/>
      <c r="HG127" s="25"/>
      <c r="HH127" s="25"/>
      <c r="HI127" s="25"/>
      <c r="HJ127" s="25"/>
      <c r="HK127" s="25"/>
      <c r="HL127" s="25"/>
      <c r="HM127" s="25"/>
      <c r="HN127" s="25"/>
      <c r="HO127" s="25"/>
      <c r="HP127" s="25"/>
      <c r="HQ127" s="25"/>
      <c r="HR127" s="25"/>
      <c r="HS127" s="25"/>
      <c r="HT127" s="25"/>
      <c r="HU127" s="25"/>
      <c r="HV127" s="25"/>
      <c r="HW127" s="25"/>
      <c r="HX127" s="25"/>
      <c r="HY127" s="25"/>
      <c r="HZ127" s="25"/>
      <c r="IA127" s="25"/>
      <c r="IB127" s="25"/>
      <c r="IC127" s="25"/>
      <c r="ID127" s="25"/>
      <c r="IE127" s="25"/>
      <c r="IF127" s="25"/>
      <c r="IG127" s="25"/>
      <c r="IH127" s="25"/>
      <c r="II127" s="25"/>
      <c r="IJ127" s="25"/>
      <c r="IK127" s="25"/>
      <c r="IL127" s="25"/>
      <c r="IM127" s="25"/>
      <c r="IN127" s="25"/>
      <c r="IO127" s="25"/>
      <c r="IP127" s="25"/>
      <c r="IQ127" s="25"/>
      <c r="IR127" s="25"/>
      <c r="IS127" s="25"/>
      <c r="IT127" s="25"/>
      <c r="IU127" s="25"/>
      <c r="IV127" s="25"/>
      <c r="IW127" s="25"/>
      <c r="IX127" s="25"/>
      <c r="IY127" s="25"/>
      <c r="IZ127" s="25"/>
      <c r="JA127" s="25"/>
      <c r="JB127" s="25"/>
      <c r="JC127" s="25"/>
      <c r="JD127" s="25"/>
      <c r="JE127" s="25"/>
      <c r="JF127" s="25"/>
      <c r="JG127" s="25"/>
      <c r="JH127" s="25"/>
      <c r="JI127" s="25"/>
      <c r="JJ127" s="25"/>
      <c r="JK127" s="25"/>
      <c r="JL127" s="25"/>
      <c r="JM127" s="25"/>
      <c r="JN127" s="25"/>
      <c r="JO127" s="25"/>
      <c r="JP127" s="25"/>
      <c r="JQ127" s="25"/>
      <c r="JR127" s="25"/>
      <c r="JS127" s="25"/>
      <c r="JT127" s="25"/>
      <c r="JU127" s="25"/>
      <c r="JV127" s="25"/>
      <c r="JW127" s="25"/>
      <c r="JX127" s="25"/>
      <c r="JY127" s="25"/>
      <c r="JZ127" s="25"/>
      <c r="KA127" s="25"/>
      <c r="KB127" s="25"/>
      <c r="KC127" s="25"/>
      <c r="KD127" s="25"/>
      <c r="KE127" s="25"/>
      <c r="KF127" s="25"/>
      <c r="KG127" s="25"/>
      <c r="KH127" s="25"/>
      <c r="KI127" s="25"/>
      <c r="KJ127" s="25"/>
      <c r="KK127" s="25"/>
      <c r="KL127" s="25"/>
      <c r="KM127" s="25"/>
      <c r="KN127" s="25"/>
      <c r="KO127" s="25"/>
      <c r="KP127" s="25"/>
      <c r="KQ127" s="25"/>
      <c r="KR127" s="25"/>
      <c r="KS127" s="25"/>
      <c r="KT127" s="25"/>
      <c r="KU127" s="25"/>
      <c r="KV127" s="25"/>
      <c r="KW127" s="25"/>
      <c r="KX127" s="25"/>
      <c r="KY127" s="25"/>
      <c r="KZ127" s="25"/>
      <c r="LA127" s="25"/>
      <c r="LB127" s="25"/>
      <c r="LC127" s="25"/>
      <c r="LD127" s="25"/>
      <c r="LE127" s="25"/>
      <c r="LF127" s="25"/>
      <c r="LG127" s="25"/>
      <c r="LH127" s="25"/>
      <c r="LI127" s="25"/>
      <c r="LJ127" s="25"/>
      <c r="LK127" s="25"/>
      <c r="LL127" s="25"/>
      <c r="LM127" s="25"/>
      <c r="LN127" s="25"/>
      <c r="LO127" s="25"/>
      <c r="LP127" s="25"/>
      <c r="LQ127" s="25"/>
      <c r="LR127" s="25"/>
      <c r="LS127" s="25"/>
      <c r="LT127" s="25"/>
      <c r="LU127" s="25"/>
      <c r="LV127" s="25"/>
      <c r="LW127" s="25"/>
      <c r="LX127" s="25"/>
      <c r="LY127" s="25"/>
      <c r="LZ127" s="25"/>
      <c r="MA127" s="25"/>
      <c r="MB127" s="25"/>
      <c r="MC127" s="25"/>
      <c r="MD127" s="25"/>
      <c r="ME127" s="25"/>
      <c r="MF127" s="25"/>
      <c r="MG127" s="25"/>
      <c r="MH127" s="25"/>
      <c r="MI127" s="25"/>
      <c r="MJ127" s="25"/>
      <c r="MK127" s="25"/>
      <c r="ML127" s="25"/>
      <c r="MM127" s="25"/>
      <c r="MN127" s="25"/>
      <c r="MO127" s="25"/>
      <c r="MP127" s="25"/>
      <c r="MQ127" s="25"/>
      <c r="MR127" s="25"/>
      <c r="MS127" s="25"/>
      <c r="MT127" s="25"/>
      <c r="MU127" s="25"/>
      <c r="MV127" s="25"/>
      <c r="MW127" s="25"/>
      <c r="MX127" s="25"/>
      <c r="MY127" s="25"/>
      <c r="MZ127" s="25"/>
      <c r="NA127" s="25"/>
      <c r="NB127" s="25"/>
      <c r="NC127" s="25"/>
      <c r="ND127" s="25"/>
      <c r="NE127" s="25"/>
      <c r="NF127" s="25"/>
      <c r="NG127" s="25"/>
      <c r="NH127" s="25"/>
      <c r="NI127" s="25"/>
      <c r="NJ127" s="25"/>
      <c r="NK127" s="25"/>
    </row>
    <row r="162" s="51" customFormat="1" ht="13.8" x14ac:dyDescent="0.3"/>
    <row r="163" s="51" customFormat="1" ht="13.8" x14ac:dyDescent="0.3"/>
    <row r="164" s="51" customFormat="1" ht="13.8" x14ac:dyDescent="0.3"/>
    <row r="165" s="51" customFormat="1" ht="13.8" x14ac:dyDescent="0.3"/>
    <row r="166" s="51" customFormat="1" ht="13.8" x14ac:dyDescent="0.3"/>
    <row r="167" s="51" customFormat="1" ht="13.8" x14ac:dyDescent="0.3"/>
    <row r="168" s="51" customFormat="1" ht="13.8" x14ac:dyDescent="0.3"/>
    <row r="169" s="51" customFormat="1" ht="13.8" x14ac:dyDescent="0.3"/>
    <row r="170" s="51" customFormat="1" ht="13.8" x14ac:dyDescent="0.3"/>
    <row r="171" s="51" customFormat="1" ht="13.8" x14ac:dyDescent="0.3"/>
    <row r="172" s="51" customFormat="1" ht="13.8" x14ac:dyDescent="0.3"/>
    <row r="173" s="51" customFormat="1" ht="13.8" x14ac:dyDescent="0.3"/>
    <row r="174" s="51" customFormat="1" ht="13.8" x14ac:dyDescent="0.3"/>
    <row r="175" s="51" customFormat="1" ht="13.8" x14ac:dyDescent="0.3"/>
    <row r="176" s="51" customFormat="1" ht="13.8" x14ac:dyDescent="0.3"/>
    <row r="177" s="51" customFormat="1" ht="13.8" x14ac:dyDescent="0.3"/>
    <row r="178" s="51" customFormat="1" ht="13.8" x14ac:dyDescent="0.3"/>
    <row r="179" s="51" customFormat="1" ht="13.8" x14ac:dyDescent="0.3"/>
    <row r="180" s="51" customFormat="1" ht="13.8" x14ac:dyDescent="0.3"/>
    <row r="181" s="51" customFormat="1" ht="13.8" x14ac:dyDescent="0.3"/>
    <row r="182" s="51" customFormat="1" ht="13.8" x14ac:dyDescent="0.3"/>
    <row r="183" s="51" customFormat="1" ht="13.8" x14ac:dyDescent="0.3"/>
    <row r="184" s="51" customFormat="1" ht="13.8" x14ac:dyDescent="0.3"/>
    <row r="185" s="51" customFormat="1" ht="13.8" x14ac:dyDescent="0.3"/>
    <row r="186" s="51" customFormat="1" ht="13.8" x14ac:dyDescent="0.3"/>
    <row r="187" s="51" customFormat="1" ht="13.8" x14ac:dyDescent="0.3"/>
    <row r="188" s="51" customFormat="1" ht="13.8" x14ac:dyDescent="0.3"/>
    <row r="189" s="51" customFormat="1" ht="13.8" x14ac:dyDescent="0.3"/>
    <row r="190" s="51" customFormat="1" ht="13.8" x14ac:dyDescent="0.3"/>
    <row r="191" s="51" customFormat="1" ht="13.8" x14ac:dyDescent="0.3"/>
    <row r="192" s="51" customFormat="1" ht="13.8" x14ac:dyDescent="0.3"/>
    <row r="193" s="51" customFormat="1" ht="13.8" x14ac:dyDescent="0.3"/>
    <row r="194" s="51" customFormat="1" ht="13.8" x14ac:dyDescent="0.3"/>
    <row r="195" s="51" customFormat="1" ht="13.8" x14ac:dyDescent="0.3"/>
    <row r="196" s="51" customFormat="1" ht="13.8" x14ac:dyDescent="0.3"/>
    <row r="197" s="51" customFormat="1" ht="13.8" x14ac:dyDescent="0.3"/>
    <row r="198" s="51" customFormat="1" ht="13.8" x14ac:dyDescent="0.3"/>
    <row r="199" s="51" customFormat="1" ht="13.8" x14ac:dyDescent="0.3"/>
    <row r="200" s="51" customFormat="1" ht="13.8" x14ac:dyDescent="0.3"/>
    <row r="201" s="51" customFormat="1" ht="13.8" x14ac:dyDescent="0.3"/>
    <row r="202" s="51" customFormat="1" ht="13.8" x14ac:dyDescent="0.3"/>
    <row r="203" s="51" customFormat="1" ht="13.8" x14ac:dyDescent="0.3"/>
    <row r="204" s="51" customFormat="1" ht="13.8" x14ac:dyDescent="0.3"/>
    <row r="205" s="51" customFormat="1" ht="13.8" x14ac:dyDescent="0.3"/>
    <row r="206" s="51" customFormat="1" ht="13.8" x14ac:dyDescent="0.3"/>
    <row r="207" s="51" customFormat="1" ht="13.8" x14ac:dyDescent="0.3"/>
    <row r="208" s="51" customFormat="1" ht="13.8" x14ac:dyDescent="0.3"/>
    <row r="209" s="51" customFormat="1" ht="13.8" x14ac:dyDescent="0.3"/>
    <row r="210" s="51" customFormat="1" ht="13.8" x14ac:dyDescent="0.3"/>
    <row r="211" s="51" customFormat="1" ht="13.8" x14ac:dyDescent="0.3"/>
    <row r="212" s="51" customFormat="1" ht="13.8" x14ac:dyDescent="0.3"/>
    <row r="213" s="51" customFormat="1" ht="13.8" x14ac:dyDescent="0.3"/>
    <row r="214" s="51" customFormat="1" ht="13.8" x14ac:dyDescent="0.3"/>
    <row r="215" s="51" customFormat="1" ht="13.8" x14ac:dyDescent="0.3"/>
    <row r="216" s="51" customFormat="1" ht="13.8" x14ac:dyDescent="0.3"/>
    <row r="217" s="51" customFormat="1" ht="13.8" x14ac:dyDescent="0.3"/>
    <row r="218" s="51" customFormat="1" ht="13.8" x14ac:dyDescent="0.3"/>
    <row r="219" s="51" customFormat="1" ht="13.8" x14ac:dyDescent="0.3"/>
    <row r="220" s="51" customFormat="1" ht="13.8" x14ac:dyDescent="0.3"/>
    <row r="221" s="51" customFormat="1" ht="13.8" x14ac:dyDescent="0.3"/>
    <row r="222" s="51" customFormat="1" ht="13.8" x14ac:dyDescent="0.3"/>
    <row r="223" s="51" customFormat="1" ht="13.8" x14ac:dyDescent="0.3"/>
    <row r="224" s="51" customFormat="1" ht="13.8" x14ac:dyDescent="0.3"/>
    <row r="225" s="51" customFormat="1" ht="13.8" x14ac:dyDescent="0.3"/>
    <row r="226" s="51" customFormat="1" ht="13.8" x14ac:dyDescent="0.3"/>
    <row r="227" s="51" customFormat="1" ht="13.8" x14ac:dyDescent="0.3"/>
    <row r="228" s="51" customFormat="1" ht="13.8" x14ac:dyDescent="0.3"/>
    <row r="229" s="51" customFormat="1" ht="13.8" x14ac:dyDescent="0.3"/>
    <row r="230" s="51" customFormat="1" ht="13.8" x14ac:dyDescent="0.3"/>
    <row r="231" s="51" customFormat="1" ht="13.8" x14ac:dyDescent="0.3"/>
    <row r="232" s="51" customFormat="1" ht="13.8" x14ac:dyDescent="0.3"/>
    <row r="233" s="51" customFormat="1" ht="13.8" x14ac:dyDescent="0.3"/>
    <row r="234" s="51" customFormat="1" ht="13.8" x14ac:dyDescent="0.3"/>
    <row r="235" s="51" customFormat="1" ht="13.8" x14ac:dyDescent="0.3"/>
    <row r="236" s="51" customFormat="1" ht="13.8" x14ac:dyDescent="0.3"/>
    <row r="237" s="51" customFormat="1" ht="13.8" x14ac:dyDescent="0.3"/>
    <row r="238" s="51" customFormat="1" ht="13.8" x14ac:dyDescent="0.3"/>
    <row r="239" s="51" customFormat="1" ht="13.8" x14ac:dyDescent="0.3"/>
    <row r="240" s="51" customFormat="1" ht="13.8" x14ac:dyDescent="0.3"/>
    <row r="241" s="51" customFormat="1" ht="13.8" x14ac:dyDescent="0.3"/>
    <row r="242" s="51" customFormat="1" ht="13.8" x14ac:dyDescent="0.3"/>
    <row r="243" s="51" customFormat="1" ht="13.8" x14ac:dyDescent="0.3"/>
    <row r="244" s="51" customFormat="1" ht="13.8" x14ac:dyDescent="0.3"/>
    <row r="245" s="51" customFormat="1" ht="13.8" x14ac:dyDescent="0.3"/>
    <row r="246" s="51" customFormat="1" ht="13.8" x14ac:dyDescent="0.3"/>
    <row r="247" s="51" customFormat="1" ht="13.8" x14ac:dyDescent="0.3"/>
    <row r="248" s="51" customFormat="1" ht="13.8" x14ac:dyDescent="0.3"/>
    <row r="249" s="51" customFormat="1" ht="13.8" x14ac:dyDescent="0.3"/>
    <row r="250" s="51" customFormat="1" ht="13.8" x14ac:dyDescent="0.3"/>
    <row r="251" s="51" customFormat="1" ht="13.8" x14ac:dyDescent="0.3"/>
    <row r="252" s="51" customFormat="1" ht="13.8" x14ac:dyDescent="0.3"/>
    <row r="253" s="51" customFormat="1" ht="13.8" x14ac:dyDescent="0.3"/>
    <row r="254" s="51" customFormat="1" ht="13.8" x14ac:dyDescent="0.3"/>
    <row r="255" s="51" customFormat="1" ht="13.8" x14ac:dyDescent="0.3"/>
    <row r="256" s="51" customFormat="1" ht="13.8" x14ac:dyDescent="0.3"/>
    <row r="257" s="51" customFormat="1" ht="13.8" x14ac:dyDescent="0.3"/>
    <row r="258" s="51" customFormat="1" ht="13.8" x14ac:dyDescent="0.3"/>
    <row r="259" s="51" customFormat="1" ht="13.8" x14ac:dyDescent="0.3"/>
    <row r="260" s="51" customFormat="1" ht="13.8" x14ac:dyDescent="0.3"/>
    <row r="261" s="51" customFormat="1" ht="13.8" x14ac:dyDescent="0.3"/>
    <row r="262" s="51" customFormat="1" ht="13.8" x14ac:dyDescent="0.3"/>
    <row r="263" s="51" customFormat="1" ht="13.8" x14ac:dyDescent="0.3"/>
    <row r="264" s="51" customFormat="1" ht="13.8" x14ac:dyDescent="0.3"/>
    <row r="265" s="51" customFormat="1" ht="13.8" x14ac:dyDescent="0.3"/>
    <row r="266" s="51" customFormat="1" ht="13.8" x14ac:dyDescent="0.3"/>
    <row r="267" s="51" customFormat="1" ht="13.8" x14ac:dyDescent="0.3"/>
    <row r="268" s="51" customFormat="1" ht="13.8" x14ac:dyDescent="0.3"/>
    <row r="269" s="51" customFormat="1" ht="13.8" x14ac:dyDescent="0.3"/>
    <row r="270" s="51" customFormat="1" ht="13.8" x14ac:dyDescent="0.3"/>
    <row r="271" s="51" customFormat="1" ht="13.8" x14ac:dyDescent="0.3"/>
    <row r="272" s="51" customFormat="1" ht="13.8" x14ac:dyDescent="0.3"/>
    <row r="273" s="51" customFormat="1" ht="13.8" x14ac:dyDescent="0.3"/>
    <row r="274" s="51" customFormat="1" ht="13.8" x14ac:dyDescent="0.3"/>
    <row r="275" s="51" customFormat="1" ht="13.8" x14ac:dyDescent="0.3"/>
    <row r="276" s="51" customFormat="1" ht="13.8" x14ac:dyDescent="0.3"/>
    <row r="277" s="51" customFormat="1" ht="13.8" x14ac:dyDescent="0.3"/>
    <row r="278" s="51" customFormat="1" ht="13.8" x14ac:dyDescent="0.3"/>
    <row r="279" s="51" customFormat="1" ht="13.8" x14ac:dyDescent="0.3"/>
    <row r="280" s="51" customFormat="1" ht="13.8" x14ac:dyDescent="0.3"/>
    <row r="281" s="51" customFormat="1" ht="13.8" x14ac:dyDescent="0.3"/>
    <row r="282" s="51" customFormat="1" ht="13.8" x14ac:dyDescent="0.3"/>
    <row r="283" s="51" customFormat="1" ht="13.8" x14ac:dyDescent="0.3"/>
    <row r="284" s="51" customFormat="1" ht="13.8" x14ac:dyDescent="0.3"/>
    <row r="285" s="51" customFormat="1" ht="13.8" x14ac:dyDescent="0.3"/>
    <row r="286" s="51" customFormat="1" ht="13.8" x14ac:dyDescent="0.3"/>
    <row r="287" s="51" customFormat="1" ht="13.8" x14ac:dyDescent="0.3"/>
    <row r="288" s="51" customFormat="1" ht="13.8" x14ac:dyDescent="0.3"/>
    <row r="289" s="51" customFormat="1" ht="13.8" x14ac:dyDescent="0.3"/>
    <row r="290" s="51" customFormat="1" ht="13.8" x14ac:dyDescent="0.3"/>
    <row r="291" s="51" customFormat="1" ht="13.8" x14ac:dyDescent="0.3"/>
    <row r="292" s="51" customFormat="1" ht="13.8" x14ac:dyDescent="0.3"/>
    <row r="293" s="51" customFormat="1" ht="13.8" x14ac:dyDescent="0.3"/>
    <row r="294" s="51" customFormat="1" ht="13.8" x14ac:dyDescent="0.3"/>
    <row r="295" s="51" customFormat="1" ht="13.8" x14ac:dyDescent="0.3"/>
    <row r="296" s="51" customFormat="1" ht="13.8" x14ac:dyDescent="0.3"/>
    <row r="297" s="51" customFormat="1" ht="13.8" x14ac:dyDescent="0.3"/>
    <row r="298" s="51" customFormat="1" ht="13.8" x14ac:dyDescent="0.3"/>
    <row r="299" s="51" customFormat="1" ht="13.8" x14ac:dyDescent="0.3"/>
    <row r="300" s="51" customFormat="1" ht="13.8" x14ac:dyDescent="0.3"/>
    <row r="301" s="51" customFormat="1" ht="13.8" x14ac:dyDescent="0.3"/>
    <row r="302" s="51" customFormat="1" ht="13.8" x14ac:dyDescent="0.3"/>
    <row r="303" s="51" customFormat="1" ht="13.8" x14ac:dyDescent="0.3"/>
    <row r="304" s="51" customFormat="1" ht="13.8" x14ac:dyDescent="0.3"/>
    <row r="305" s="51" customFormat="1" ht="13.8" x14ac:dyDescent="0.3"/>
    <row r="306" s="51" customFormat="1" ht="13.8" x14ac:dyDescent="0.3"/>
    <row r="307" s="51" customFormat="1" ht="13.8" x14ac:dyDescent="0.3"/>
    <row r="308" s="51" customFormat="1" ht="13.8" x14ac:dyDescent="0.3"/>
    <row r="309" s="51" customFormat="1" ht="13.8" x14ac:dyDescent="0.3"/>
    <row r="310" s="51" customFormat="1" ht="13.8" x14ac:dyDescent="0.3"/>
    <row r="311" s="51" customFormat="1" ht="13.8" x14ac:dyDescent="0.3"/>
    <row r="312" s="51" customFormat="1" ht="13.8" x14ac:dyDescent="0.3"/>
    <row r="313" s="51" customFormat="1" ht="13.8" x14ac:dyDescent="0.3"/>
    <row r="314" s="51" customFormat="1" ht="13.8" x14ac:dyDescent="0.3"/>
    <row r="315" s="51" customFormat="1" ht="13.8" x14ac:dyDescent="0.3"/>
    <row r="316" s="51" customFormat="1" ht="13.8" x14ac:dyDescent="0.3"/>
    <row r="317" s="51" customFormat="1" ht="13.8" x14ac:dyDescent="0.3"/>
    <row r="318" s="51" customFormat="1" ht="13.8" x14ac:dyDescent="0.3"/>
    <row r="319" s="51" customFormat="1" ht="13.8" x14ac:dyDescent="0.3"/>
    <row r="320" s="51" customFormat="1" ht="13.8" x14ac:dyDescent="0.3"/>
    <row r="321" s="51" customFormat="1" ht="13.8" x14ac:dyDescent="0.3"/>
    <row r="322" s="51" customFormat="1" ht="13.8" x14ac:dyDescent="0.3"/>
    <row r="323" s="51" customFormat="1" ht="13.8" x14ac:dyDescent="0.3"/>
    <row r="324" s="51" customFormat="1" ht="13.8" x14ac:dyDescent="0.3"/>
    <row r="325" s="51" customFormat="1" ht="13.8" x14ac:dyDescent="0.3"/>
    <row r="326" s="51" customFormat="1" ht="13.8" x14ac:dyDescent="0.3"/>
    <row r="327" s="51" customFormat="1" ht="13.8" x14ac:dyDescent="0.3"/>
    <row r="328" s="51" customFormat="1" ht="13.8" x14ac:dyDescent="0.3"/>
    <row r="329" s="51" customFormat="1" ht="13.8" x14ac:dyDescent="0.3"/>
    <row r="330" s="51" customFormat="1" ht="13.8" x14ac:dyDescent="0.3"/>
    <row r="331" s="51" customFormat="1" ht="13.8" x14ac:dyDescent="0.3"/>
    <row r="332" s="51" customFormat="1" ht="13.8" x14ac:dyDescent="0.3"/>
    <row r="333" s="51" customFormat="1" ht="13.8" x14ac:dyDescent="0.3"/>
    <row r="334" s="51" customFormat="1" ht="13.8" x14ac:dyDescent="0.3"/>
    <row r="335" s="51" customFormat="1" ht="13.8" x14ac:dyDescent="0.3"/>
    <row r="336" s="51" customFormat="1" ht="13.8" x14ac:dyDescent="0.3"/>
    <row r="337" s="51" customFormat="1" ht="13.8" x14ac:dyDescent="0.3"/>
    <row r="338" s="51" customFormat="1" ht="13.8" x14ac:dyDescent="0.3"/>
    <row r="339" s="51" customFormat="1" ht="13.8" x14ac:dyDescent="0.3"/>
    <row r="340" s="51" customFormat="1" ht="13.8" x14ac:dyDescent="0.3"/>
    <row r="341" s="51" customFormat="1" ht="13.8" x14ac:dyDescent="0.3"/>
    <row r="342" s="51" customFormat="1" ht="13.8" x14ac:dyDescent="0.3"/>
    <row r="343" s="51" customFormat="1" ht="13.8" x14ac:dyDescent="0.3"/>
    <row r="344" s="51" customFormat="1" ht="13.8" x14ac:dyDescent="0.3"/>
    <row r="345" s="51" customFormat="1" ht="13.8" x14ac:dyDescent="0.3"/>
    <row r="346" s="51" customFormat="1" ht="13.8" x14ac:dyDescent="0.3"/>
    <row r="347" s="51" customFormat="1" ht="13.8" x14ac:dyDescent="0.3"/>
    <row r="348" s="51" customFormat="1" ht="13.8" x14ac:dyDescent="0.3"/>
    <row r="349" s="51" customFormat="1" ht="13.8" x14ac:dyDescent="0.3"/>
    <row r="350" s="51" customFormat="1" ht="13.8" x14ac:dyDescent="0.3"/>
    <row r="351" s="51" customFormat="1" ht="13.8" x14ac:dyDescent="0.3"/>
    <row r="352" s="51" customFormat="1" ht="13.8" x14ac:dyDescent="0.3"/>
    <row r="353" s="51" customFormat="1" ht="13.8" x14ac:dyDescent="0.3"/>
    <row r="354" s="51" customFormat="1" ht="13.8" x14ac:dyDescent="0.3"/>
    <row r="355" s="51" customFormat="1" ht="13.8" x14ac:dyDescent="0.3"/>
    <row r="356" s="51" customFormat="1" ht="13.8" x14ac:dyDescent="0.3"/>
    <row r="357" s="51" customFormat="1" ht="13.8" x14ac:dyDescent="0.3"/>
    <row r="358" s="51" customFormat="1" ht="13.8" x14ac:dyDescent="0.3"/>
    <row r="359" s="51" customFormat="1" ht="13.8" x14ac:dyDescent="0.3"/>
    <row r="360" s="51" customFormat="1" ht="13.8" x14ac:dyDescent="0.3"/>
    <row r="361" s="51" customFormat="1" ht="13.8" x14ac:dyDescent="0.3"/>
    <row r="362" s="51" customFormat="1" ht="13.8" x14ac:dyDescent="0.3"/>
    <row r="363" s="51" customFormat="1" ht="13.8" x14ac:dyDescent="0.3"/>
    <row r="364" s="51" customFormat="1" ht="13.8" x14ac:dyDescent="0.3"/>
    <row r="365" s="51" customFormat="1" ht="13.8" x14ac:dyDescent="0.3"/>
    <row r="366" s="51" customFormat="1" ht="13.8" x14ac:dyDescent="0.3"/>
    <row r="367" s="51" customFormat="1" ht="13.8" x14ac:dyDescent="0.3"/>
    <row r="368" s="51" customFormat="1" ht="13.8" x14ac:dyDescent="0.3"/>
    <row r="369" s="51" customFormat="1" ht="13.8" x14ac:dyDescent="0.3"/>
    <row r="370" s="51" customFormat="1" ht="13.8" x14ac:dyDescent="0.3"/>
    <row r="371" s="51" customFormat="1" ht="13.8" x14ac:dyDescent="0.3"/>
    <row r="372" s="51" customFormat="1" ht="13.8" x14ac:dyDescent="0.3"/>
    <row r="373" s="51" customFormat="1" ht="13.8" x14ac:dyDescent="0.3"/>
    <row r="374" s="51" customFormat="1" ht="13.8" x14ac:dyDescent="0.3"/>
    <row r="375" s="51" customFormat="1" ht="13.8" x14ac:dyDescent="0.3"/>
    <row r="376" s="51" customFormat="1" ht="13.8" x14ac:dyDescent="0.3"/>
    <row r="377" s="51" customFormat="1" ht="13.8" x14ac:dyDescent="0.3"/>
    <row r="378" s="51" customFormat="1" ht="13.8" x14ac:dyDescent="0.3"/>
    <row r="379" s="51" customFormat="1" ht="13.8" x14ac:dyDescent="0.3"/>
    <row r="380" s="51" customFormat="1" ht="13.8" x14ac:dyDescent="0.3"/>
    <row r="381" s="51" customFormat="1" ht="13.8" x14ac:dyDescent="0.3"/>
    <row r="382" s="51" customFormat="1" ht="13.8" x14ac:dyDescent="0.3"/>
    <row r="383" s="51" customFormat="1" ht="13.8" x14ac:dyDescent="0.3"/>
    <row r="384" s="51" customFormat="1" ht="13.8" x14ac:dyDescent="0.3"/>
    <row r="385" s="51" customFormat="1" ht="13.8" x14ac:dyDescent="0.3"/>
    <row r="386" s="51" customFormat="1" ht="13.8" x14ac:dyDescent="0.3"/>
    <row r="387" s="51" customFormat="1" ht="13.8" x14ac:dyDescent="0.3"/>
    <row r="388" s="51" customFormat="1" ht="13.8" x14ac:dyDescent="0.3"/>
    <row r="389" s="51" customFormat="1" ht="13.8" x14ac:dyDescent="0.3"/>
    <row r="390" s="51" customFormat="1" ht="13.8" x14ac:dyDescent="0.3"/>
    <row r="391" s="51" customFormat="1" ht="13.8" x14ac:dyDescent="0.3"/>
    <row r="392" s="51" customFormat="1" ht="13.8" x14ac:dyDescent="0.3"/>
    <row r="393" s="51" customFormat="1" ht="13.8" x14ac:dyDescent="0.3"/>
    <row r="394" s="51" customFormat="1" ht="13.8" x14ac:dyDescent="0.3"/>
    <row r="395" s="51" customFormat="1" ht="13.8" x14ac:dyDescent="0.3"/>
    <row r="396" s="51" customFormat="1" ht="13.8" x14ac:dyDescent="0.3"/>
    <row r="397" s="51" customFormat="1" ht="13.8" x14ac:dyDescent="0.3"/>
    <row r="398" s="51" customFormat="1" ht="13.8" x14ac:dyDescent="0.3"/>
    <row r="399" s="51" customFormat="1" ht="13.8" x14ac:dyDescent="0.3"/>
    <row r="400" s="51" customFormat="1" ht="13.8" x14ac:dyDescent="0.3"/>
    <row r="401" s="51" customFormat="1" ht="13.8" x14ac:dyDescent="0.3"/>
    <row r="402" s="51" customFormat="1" ht="13.8" x14ac:dyDescent="0.3"/>
    <row r="403" s="51" customFormat="1" ht="13.8" x14ac:dyDescent="0.3"/>
    <row r="404" s="51" customFormat="1" ht="13.8" x14ac:dyDescent="0.3"/>
    <row r="405" s="51" customFormat="1" ht="13.8" x14ac:dyDescent="0.3"/>
    <row r="406" s="51" customFormat="1" ht="13.8" x14ac:dyDescent="0.3"/>
    <row r="407" s="51" customFormat="1" ht="13.8" x14ac:dyDescent="0.3"/>
    <row r="408" s="51" customFormat="1" ht="13.8" x14ac:dyDescent="0.3"/>
    <row r="409" s="51" customFormat="1" ht="13.8" x14ac:dyDescent="0.3"/>
    <row r="410" s="51" customFormat="1" ht="13.8" x14ac:dyDescent="0.3"/>
    <row r="411" s="51" customFormat="1" ht="13.8" x14ac:dyDescent="0.3"/>
    <row r="412" s="51" customFormat="1" ht="13.8" x14ac:dyDescent="0.3"/>
    <row r="413" s="51" customFormat="1" ht="13.8" x14ac:dyDescent="0.3"/>
    <row r="414" s="51" customFormat="1" ht="13.8" x14ac:dyDescent="0.3"/>
    <row r="415" s="51" customFormat="1" ht="13.8" x14ac:dyDescent="0.3"/>
    <row r="416" s="51" customFormat="1" ht="13.8" x14ac:dyDescent="0.3"/>
    <row r="417" s="51" customFormat="1" ht="13.8" x14ac:dyDescent="0.3"/>
    <row r="418" s="51" customFormat="1" ht="13.8" x14ac:dyDescent="0.3"/>
    <row r="419" s="51" customFormat="1" ht="13.8" x14ac:dyDescent="0.3"/>
    <row r="420" s="51" customFormat="1" ht="13.8" x14ac:dyDescent="0.3"/>
    <row r="421" s="51" customFormat="1" ht="13.8" x14ac:dyDescent="0.3"/>
    <row r="422" s="51" customFormat="1" ht="13.8" x14ac:dyDescent="0.3"/>
    <row r="423" s="51" customFormat="1" ht="13.8" x14ac:dyDescent="0.3"/>
    <row r="424" s="51" customFormat="1" ht="13.8" x14ac:dyDescent="0.3"/>
    <row r="425" s="51" customFormat="1" ht="13.8" x14ac:dyDescent="0.3"/>
    <row r="426" s="51" customFormat="1" ht="13.8" x14ac:dyDescent="0.3"/>
    <row r="427" s="51" customFormat="1" ht="13.8" x14ac:dyDescent="0.3"/>
    <row r="428" s="51" customFormat="1" ht="13.8" x14ac:dyDescent="0.3"/>
    <row r="429" s="51" customFormat="1" ht="13.8" x14ac:dyDescent="0.3"/>
    <row r="430" s="51" customFormat="1" ht="13.8" x14ac:dyDescent="0.3"/>
    <row r="431" s="51" customFormat="1" ht="13.8" x14ac:dyDescent="0.3"/>
    <row r="432" s="51" customFormat="1" ht="13.8" x14ac:dyDescent="0.3"/>
    <row r="433" s="51" customFormat="1" ht="13.8" x14ac:dyDescent="0.3"/>
    <row r="434" s="51" customFormat="1" ht="13.8" x14ac:dyDescent="0.3"/>
    <row r="435" s="51" customFormat="1" ht="13.8" x14ac:dyDescent="0.3"/>
    <row r="436" s="51" customFormat="1" ht="13.8" x14ac:dyDescent="0.3"/>
    <row r="437" s="51" customFormat="1" ht="13.8" x14ac:dyDescent="0.3"/>
    <row r="438" s="51" customFormat="1" ht="13.8" x14ac:dyDescent="0.3"/>
    <row r="439" s="51" customFormat="1" ht="13.8" x14ac:dyDescent="0.3"/>
    <row r="440" s="51" customFormat="1" ht="13.8" x14ac:dyDescent="0.3"/>
    <row r="441" s="51" customFormat="1" ht="13.8" x14ac:dyDescent="0.3"/>
    <row r="442" s="51" customFormat="1" ht="13.8" x14ac:dyDescent="0.3"/>
    <row r="443" s="51" customFormat="1" ht="13.8" x14ac:dyDescent="0.3"/>
    <row r="444" s="51" customFormat="1" ht="13.8" x14ac:dyDescent="0.3"/>
    <row r="445" s="51" customFormat="1" ht="13.8" x14ac:dyDescent="0.3"/>
    <row r="446" s="51" customFormat="1" ht="13.8" x14ac:dyDescent="0.3"/>
    <row r="447" s="51" customFormat="1" ht="13.8" x14ac:dyDescent="0.3"/>
    <row r="448" s="51" customFormat="1" ht="13.8" x14ac:dyDescent="0.3"/>
    <row r="449" s="51" customFormat="1" ht="13.8" x14ac:dyDescent="0.3"/>
    <row r="450" s="51" customFormat="1" ht="13.8" x14ac:dyDescent="0.3"/>
    <row r="451" s="51" customFormat="1" ht="13.8" x14ac:dyDescent="0.3"/>
    <row r="452" s="51" customFormat="1" ht="13.8" x14ac:dyDescent="0.3"/>
    <row r="453" s="51" customFormat="1" ht="13.8" x14ac:dyDescent="0.3"/>
    <row r="454" s="51" customFormat="1" ht="13.8" x14ac:dyDescent="0.3"/>
    <row r="455" s="51" customFormat="1" ht="13.8" x14ac:dyDescent="0.3"/>
    <row r="456" s="51" customFormat="1" ht="13.8" x14ac:dyDescent="0.3"/>
    <row r="457" s="51" customFormat="1" ht="13.8" x14ac:dyDescent="0.3"/>
    <row r="458" s="51" customFormat="1" ht="13.8" x14ac:dyDescent="0.3"/>
    <row r="459" s="51" customFormat="1" ht="13.8" x14ac:dyDescent="0.3"/>
    <row r="460" s="51" customFormat="1" ht="13.8" x14ac:dyDescent="0.3"/>
    <row r="461" s="51" customFormat="1" ht="13.8" x14ac:dyDescent="0.3"/>
    <row r="462" s="51" customFormat="1" ht="13.8" x14ac:dyDescent="0.3"/>
    <row r="463" s="51" customFormat="1" ht="13.8" x14ac:dyDescent="0.3"/>
    <row r="464" s="51" customFormat="1" ht="13.8" x14ac:dyDescent="0.3"/>
    <row r="465" s="51" customFormat="1" ht="13.8" x14ac:dyDescent="0.3"/>
    <row r="466" s="51" customFormat="1" ht="13.8" x14ac:dyDescent="0.3"/>
    <row r="467" s="51" customFormat="1" ht="13.8" x14ac:dyDescent="0.3"/>
    <row r="468" s="51" customFormat="1" ht="13.8" x14ac:dyDescent="0.3"/>
    <row r="469" s="51" customFormat="1" ht="13.8" x14ac:dyDescent="0.3"/>
    <row r="470" s="51" customFormat="1" ht="13.8" x14ac:dyDescent="0.3"/>
    <row r="471" s="51" customFormat="1" ht="13.8" x14ac:dyDescent="0.3"/>
    <row r="472" s="51" customFormat="1" ht="13.8" x14ac:dyDescent="0.3"/>
    <row r="473" s="51" customFormat="1" ht="13.8" x14ac:dyDescent="0.3"/>
    <row r="474" s="51" customFormat="1" ht="13.8" x14ac:dyDescent="0.3"/>
    <row r="475" s="51" customFormat="1" ht="13.8" x14ac:dyDescent="0.3"/>
    <row r="476" s="51" customFormat="1" ht="13.8" x14ac:dyDescent="0.3"/>
    <row r="477" s="51" customFormat="1" ht="13.8" x14ac:dyDescent="0.3"/>
    <row r="478" s="51" customFormat="1" ht="13.8" x14ac:dyDescent="0.3"/>
    <row r="479" s="51" customFormat="1" ht="13.8" x14ac:dyDescent="0.3"/>
    <row r="480" s="51" customFormat="1" ht="13.8" x14ac:dyDescent="0.3"/>
    <row r="481" s="51" customFormat="1" ht="13.8" x14ac:dyDescent="0.3"/>
    <row r="482" s="51" customFormat="1" ht="13.8" x14ac:dyDescent="0.3"/>
    <row r="483" s="51" customFormat="1" ht="13.8" x14ac:dyDescent="0.3"/>
    <row r="484" s="51" customFormat="1" ht="13.8" x14ac:dyDescent="0.3"/>
    <row r="485" s="51" customFormat="1" ht="13.8" x14ac:dyDescent="0.3"/>
    <row r="486" s="51" customFormat="1" ht="13.8" x14ac:dyDescent="0.3"/>
    <row r="487" s="51" customFormat="1" ht="13.8" x14ac:dyDescent="0.3"/>
    <row r="488" s="51" customFormat="1" ht="13.8" x14ac:dyDescent="0.3"/>
    <row r="489" s="51" customFormat="1" ht="13.8" x14ac:dyDescent="0.3"/>
    <row r="490" s="51" customFormat="1" ht="13.8" x14ac:dyDescent="0.3"/>
    <row r="491" s="51" customFormat="1" ht="13.8" x14ac:dyDescent="0.3"/>
    <row r="492" s="51" customFormat="1" ht="13.8" x14ac:dyDescent="0.3"/>
    <row r="493" s="51" customFormat="1" ht="13.8" x14ac:dyDescent="0.3"/>
    <row r="494" s="51" customFormat="1" ht="13.8" x14ac:dyDescent="0.3"/>
    <row r="495" s="51" customFormat="1" ht="13.8" x14ac:dyDescent="0.3"/>
    <row r="496" s="51" customFormat="1" ht="13.8" x14ac:dyDescent="0.3"/>
    <row r="497" s="51" customFormat="1" ht="13.8" x14ac:dyDescent="0.3"/>
    <row r="498" s="51" customFormat="1" ht="13.8" x14ac:dyDescent="0.3"/>
    <row r="499" s="51" customFormat="1" ht="13.8" x14ac:dyDescent="0.3"/>
    <row r="500" s="51" customFormat="1" ht="13.8" x14ac:dyDescent="0.3"/>
    <row r="501" s="51" customFormat="1" ht="13.8" x14ac:dyDescent="0.3"/>
    <row r="502" s="51" customFormat="1" ht="13.8" x14ac:dyDescent="0.3"/>
    <row r="503" s="51" customFormat="1" ht="13.8" x14ac:dyDescent="0.3"/>
    <row r="504" s="51" customFormat="1" ht="13.8" x14ac:dyDescent="0.3"/>
    <row r="505" s="51" customFormat="1" ht="13.8" x14ac:dyDescent="0.3"/>
    <row r="506" s="51" customFormat="1" ht="13.8" x14ac:dyDescent="0.3"/>
    <row r="507" s="51" customFormat="1" ht="13.8" x14ac:dyDescent="0.3"/>
    <row r="508" s="51" customFormat="1" ht="13.8" x14ac:dyDescent="0.3"/>
    <row r="509" s="51" customFormat="1" ht="13.8" x14ac:dyDescent="0.3"/>
    <row r="510" s="51" customFormat="1" ht="13.8" x14ac:dyDescent="0.3"/>
    <row r="511" s="51" customFormat="1" ht="13.8" x14ac:dyDescent="0.3"/>
    <row r="512" s="51" customFormat="1" ht="13.8" x14ac:dyDescent="0.3"/>
    <row r="513" s="51" customFormat="1" ht="13.8" x14ac:dyDescent="0.3"/>
    <row r="514" s="51" customFormat="1" ht="13.8" x14ac:dyDescent="0.3"/>
    <row r="515" s="51" customFormat="1" ht="13.8" x14ac:dyDescent="0.3"/>
    <row r="516" s="51" customFormat="1" ht="13.8" x14ac:dyDescent="0.3"/>
    <row r="517" s="51" customFormat="1" ht="13.8" x14ac:dyDescent="0.3"/>
    <row r="518" s="51" customFormat="1" ht="13.8" x14ac:dyDescent="0.3"/>
    <row r="519" s="51" customFormat="1" ht="13.8" x14ac:dyDescent="0.3"/>
    <row r="520" s="51" customFormat="1" ht="13.8" x14ac:dyDescent="0.3"/>
    <row r="521" s="51" customFormat="1" ht="13.8" x14ac:dyDescent="0.3"/>
    <row r="522" s="51" customFormat="1" ht="13.8" x14ac:dyDescent="0.3"/>
    <row r="523" s="51" customFormat="1" ht="13.8" x14ac:dyDescent="0.3"/>
    <row r="524" s="51" customFormat="1" ht="13.8" x14ac:dyDescent="0.3"/>
    <row r="525" s="51" customFormat="1" ht="13.8" x14ac:dyDescent="0.3"/>
    <row r="526" s="51" customFormat="1" ht="13.8" x14ac:dyDescent="0.3"/>
    <row r="527" s="51" customFormat="1" ht="13.8" x14ac:dyDescent="0.3"/>
    <row r="528" s="51" customFormat="1" ht="13.8" x14ac:dyDescent="0.3"/>
    <row r="529" s="51" customFormat="1" ht="13.8" x14ac:dyDescent="0.3"/>
    <row r="530" s="51" customFormat="1" ht="13.8" x14ac:dyDescent="0.3"/>
    <row r="531" s="51" customFormat="1" ht="13.8" x14ac:dyDescent="0.3"/>
    <row r="532" s="51" customFormat="1" ht="13.8" x14ac:dyDescent="0.3"/>
    <row r="533" s="51" customFormat="1" ht="13.8" x14ac:dyDescent="0.3"/>
    <row r="534" s="51" customFormat="1" ht="13.8" x14ac:dyDescent="0.3"/>
    <row r="535" s="51" customFormat="1" ht="13.8" x14ac:dyDescent="0.3"/>
    <row r="536" s="51" customFormat="1" ht="13.8" x14ac:dyDescent="0.3"/>
    <row r="537" s="51" customFormat="1" ht="13.8" x14ac:dyDescent="0.3"/>
    <row r="538" s="51" customFormat="1" ht="13.8" x14ac:dyDescent="0.3"/>
    <row r="539" s="51" customFormat="1" ht="13.8" x14ac:dyDescent="0.3"/>
    <row r="540" s="51" customFormat="1" ht="13.8" x14ac:dyDescent="0.3"/>
    <row r="541" s="51" customFormat="1" ht="13.8" x14ac:dyDescent="0.3"/>
    <row r="542" s="51" customFormat="1" ht="13.8" x14ac:dyDescent="0.3"/>
    <row r="543" s="51" customFormat="1" ht="13.8" x14ac:dyDescent="0.3"/>
    <row r="544" s="51" customFormat="1" ht="13.8" x14ac:dyDescent="0.3"/>
    <row r="545" s="51" customFormat="1" ht="13.8" x14ac:dyDescent="0.3"/>
    <row r="546" s="51" customFormat="1" ht="13.8" x14ac:dyDescent="0.3"/>
    <row r="547" s="51" customFormat="1" ht="13.8" x14ac:dyDescent="0.3"/>
    <row r="548" s="51" customFormat="1" ht="13.8" x14ac:dyDescent="0.3"/>
    <row r="549" s="51" customFormat="1" ht="13.8" x14ac:dyDescent="0.3"/>
    <row r="550" s="51" customFormat="1" ht="13.8" x14ac:dyDescent="0.3"/>
    <row r="551" s="51" customFormat="1" ht="13.8" x14ac:dyDescent="0.3"/>
    <row r="552" s="51" customFormat="1" ht="13.8" x14ac:dyDescent="0.3"/>
    <row r="553" s="51" customFormat="1" ht="13.8" x14ac:dyDescent="0.3"/>
    <row r="554" s="51" customFormat="1" ht="13.8" x14ac:dyDescent="0.3"/>
    <row r="555" s="51" customFormat="1" ht="13.8" x14ac:dyDescent="0.3"/>
    <row r="556" s="51" customFormat="1" ht="13.8" x14ac:dyDescent="0.3"/>
    <row r="557" s="51" customFormat="1" ht="13.8" x14ac:dyDescent="0.3"/>
    <row r="558" s="51" customFormat="1" ht="13.8" x14ac:dyDescent="0.3"/>
    <row r="559" s="51" customFormat="1" ht="13.8" x14ac:dyDescent="0.3"/>
    <row r="560" s="51" customFormat="1" ht="13.8" x14ac:dyDescent="0.3"/>
    <row r="561" s="51" customFormat="1" ht="13.8" x14ac:dyDescent="0.3"/>
    <row r="562" s="51" customFormat="1" ht="13.8" x14ac:dyDescent="0.3"/>
    <row r="563" s="51" customFormat="1" ht="13.8" x14ac:dyDescent="0.3"/>
    <row r="564" s="51" customFormat="1" ht="13.8" x14ac:dyDescent="0.3"/>
    <row r="565" s="51" customFormat="1" ht="13.8" x14ac:dyDescent="0.3"/>
    <row r="566" s="51" customFormat="1" ht="13.8" x14ac:dyDescent="0.3"/>
    <row r="567" s="51" customFormat="1" ht="13.8" x14ac:dyDescent="0.3"/>
    <row r="568" s="51" customFormat="1" ht="13.8" x14ac:dyDescent="0.3"/>
    <row r="569" s="51" customFormat="1" ht="13.8" x14ac:dyDescent="0.3"/>
    <row r="570" s="51" customFormat="1" ht="13.8" x14ac:dyDescent="0.3"/>
    <row r="571" s="51" customFormat="1" ht="13.8" x14ac:dyDescent="0.3"/>
    <row r="572" s="51" customFormat="1" ht="13.8" x14ac:dyDescent="0.3"/>
    <row r="573" s="51" customFormat="1" ht="13.8" x14ac:dyDescent="0.3"/>
    <row r="574" s="51" customFormat="1" ht="13.8" x14ac:dyDescent="0.3"/>
    <row r="575" s="51" customFormat="1" ht="13.8" x14ac:dyDescent="0.3"/>
    <row r="576" s="51" customFormat="1" ht="13.8" x14ac:dyDescent="0.3"/>
    <row r="577" s="51" customFormat="1" ht="13.8" x14ac:dyDescent="0.3"/>
    <row r="578" s="51" customFormat="1" ht="13.8" x14ac:dyDescent="0.3"/>
    <row r="579" s="51" customFormat="1" ht="13.8" x14ac:dyDescent="0.3"/>
    <row r="580" s="51" customFormat="1" ht="13.8" x14ac:dyDescent="0.3"/>
    <row r="581" s="51" customFormat="1" ht="13.8" x14ac:dyDescent="0.3"/>
    <row r="582" s="51" customFormat="1" ht="13.8" x14ac:dyDescent="0.3"/>
    <row r="583" s="51" customFormat="1" ht="13.8" x14ac:dyDescent="0.3"/>
    <row r="584" s="51" customFormat="1" ht="13.8" x14ac:dyDescent="0.3"/>
    <row r="585" s="51" customFormat="1" ht="13.8" x14ac:dyDescent="0.3"/>
    <row r="586" s="51" customFormat="1" ht="13.8" x14ac:dyDescent="0.3"/>
    <row r="587" s="51" customFormat="1" ht="13.8" x14ac:dyDescent="0.3"/>
    <row r="588" s="51" customFormat="1" ht="13.8" x14ac:dyDescent="0.3"/>
    <row r="589" s="51" customFormat="1" ht="13.8" x14ac:dyDescent="0.3"/>
    <row r="590" s="51" customFormat="1" ht="13.8" x14ac:dyDescent="0.3"/>
    <row r="591" s="51" customFormat="1" ht="13.8" x14ac:dyDescent="0.3"/>
    <row r="592" s="51" customFormat="1" ht="13.8" x14ac:dyDescent="0.3"/>
    <row r="593" s="51" customFormat="1" ht="13.8" x14ac:dyDescent="0.3"/>
    <row r="594" s="51" customFormat="1" ht="13.8" x14ac:dyDescent="0.3"/>
    <row r="595" s="51" customFormat="1" ht="13.8" x14ac:dyDescent="0.3"/>
    <row r="596" s="51" customFormat="1" ht="13.8" x14ac:dyDescent="0.3"/>
    <row r="597" s="51" customFormat="1" ht="13.8" x14ac:dyDescent="0.3"/>
    <row r="598" s="51" customFormat="1" ht="13.8" x14ac:dyDescent="0.3"/>
    <row r="599" s="51" customFormat="1" ht="13.8" x14ac:dyDescent="0.3"/>
    <row r="600" s="51" customFormat="1" ht="13.8" x14ac:dyDescent="0.3"/>
    <row r="601" s="51" customFormat="1" ht="13.8" x14ac:dyDescent="0.3"/>
    <row r="602" s="51" customFormat="1" ht="13.8" x14ac:dyDescent="0.3"/>
    <row r="603" s="51" customFormat="1" ht="13.8" x14ac:dyDescent="0.3"/>
    <row r="604" s="51" customFormat="1" ht="13.8" x14ac:dyDescent="0.3"/>
    <row r="605" s="51" customFormat="1" ht="13.8" x14ac:dyDescent="0.3"/>
    <row r="606" s="51" customFormat="1" ht="13.8" x14ac:dyDescent="0.3"/>
    <row r="607" s="51" customFormat="1" ht="13.8" x14ac:dyDescent="0.3"/>
    <row r="608" s="51" customFormat="1" ht="13.8" x14ac:dyDescent="0.3"/>
    <row r="609" s="51" customFormat="1" ht="13.8" x14ac:dyDescent="0.3"/>
    <row r="610" s="51" customFormat="1" ht="13.8" x14ac:dyDescent="0.3"/>
    <row r="611" s="51" customFormat="1" ht="13.8" x14ac:dyDescent="0.3"/>
    <row r="612" s="51" customFormat="1" ht="13.8" x14ac:dyDescent="0.3"/>
    <row r="613" s="51" customFormat="1" ht="13.8" x14ac:dyDescent="0.3"/>
    <row r="614" s="51" customFormat="1" ht="13.8" x14ac:dyDescent="0.3"/>
    <row r="615" s="51" customFormat="1" ht="13.8" x14ac:dyDescent="0.3"/>
    <row r="616" s="51" customFormat="1" ht="13.8" x14ac:dyDescent="0.3"/>
    <row r="617" s="51" customFormat="1" ht="13.8" x14ac:dyDescent="0.3"/>
    <row r="618" s="51" customFormat="1" ht="13.8" x14ac:dyDescent="0.3"/>
    <row r="619" s="51" customFormat="1" ht="13.8" x14ac:dyDescent="0.3"/>
    <row r="620" s="51" customFormat="1" ht="13.8" x14ac:dyDescent="0.3"/>
    <row r="621" s="51" customFormat="1" ht="13.8" x14ac:dyDescent="0.3"/>
    <row r="622" s="51" customFormat="1" ht="13.8" x14ac:dyDescent="0.3"/>
    <row r="623" s="51" customFormat="1" ht="13.8" x14ac:dyDescent="0.3"/>
    <row r="624" s="51" customFormat="1" ht="13.8" x14ac:dyDescent="0.3"/>
    <row r="625" s="51" customFormat="1" ht="13.8" x14ac:dyDescent="0.3"/>
    <row r="626" s="51" customFormat="1" ht="13.8" x14ac:dyDescent="0.3"/>
    <row r="627" s="51" customFormat="1" ht="13.8" x14ac:dyDescent="0.3"/>
    <row r="628" s="51" customFormat="1" ht="13.8" x14ac:dyDescent="0.3"/>
    <row r="629" s="51" customFormat="1" ht="13.8" x14ac:dyDescent="0.3"/>
    <row r="630" s="51" customFormat="1" ht="13.8" x14ac:dyDescent="0.3"/>
    <row r="631" s="51" customFormat="1" ht="13.8" x14ac:dyDescent="0.3"/>
    <row r="632" s="51" customFormat="1" ht="13.8" x14ac:dyDescent="0.3"/>
    <row r="633" s="51" customFormat="1" ht="13.8" x14ac:dyDescent="0.3"/>
    <row r="634" s="51" customFormat="1" ht="13.8" x14ac:dyDescent="0.3"/>
    <row r="635" s="51" customFormat="1" ht="13.8" x14ac:dyDescent="0.3"/>
    <row r="636" s="51" customFormat="1" ht="13.8" x14ac:dyDescent="0.3"/>
    <row r="637" s="51" customFormat="1" ht="13.8" x14ac:dyDescent="0.3"/>
    <row r="638" s="51" customFormat="1" ht="13.8" x14ac:dyDescent="0.3"/>
    <row r="639" s="51" customFormat="1" ht="13.8" x14ac:dyDescent="0.3"/>
    <row r="640" s="51" customFormat="1" ht="13.8" x14ac:dyDescent="0.3"/>
    <row r="641" s="51" customFormat="1" ht="13.8" x14ac:dyDescent="0.3"/>
    <row r="642" s="51" customFormat="1" ht="13.8" x14ac:dyDescent="0.3"/>
    <row r="643" s="51" customFormat="1" ht="13.8" x14ac:dyDescent="0.3"/>
    <row r="644" s="51" customFormat="1" ht="13.8" x14ac:dyDescent="0.3"/>
    <row r="645" s="51" customFormat="1" ht="13.8" x14ac:dyDescent="0.3"/>
    <row r="646" s="51" customFormat="1" ht="13.8" x14ac:dyDescent="0.3"/>
    <row r="647" s="51" customFormat="1" ht="13.8" x14ac:dyDescent="0.3"/>
    <row r="648" s="51" customFormat="1" ht="13.8" x14ac:dyDescent="0.3"/>
    <row r="649" s="51" customFormat="1" ht="13.8" x14ac:dyDescent="0.3"/>
    <row r="650" s="51" customFormat="1" ht="13.8" x14ac:dyDescent="0.3"/>
    <row r="651" s="51" customFormat="1" ht="13.8" x14ac:dyDescent="0.3"/>
    <row r="652" s="51" customFormat="1" ht="13.8" x14ac:dyDescent="0.3"/>
    <row r="653" s="51" customFormat="1" ht="13.8" x14ac:dyDescent="0.3"/>
    <row r="654" s="51" customFormat="1" ht="13.8" x14ac:dyDescent="0.3"/>
    <row r="655" s="51" customFormat="1" ht="13.8" x14ac:dyDescent="0.3"/>
    <row r="656" s="51" customFormat="1" ht="13.8" x14ac:dyDescent="0.3"/>
    <row r="657" s="51" customFormat="1" ht="13.8" x14ac:dyDescent="0.3"/>
    <row r="658" s="51" customFormat="1" ht="13.8" x14ac:dyDescent="0.3"/>
    <row r="659" s="51" customFormat="1" ht="13.8" x14ac:dyDescent="0.3"/>
    <row r="660" s="51" customFormat="1" ht="13.8" x14ac:dyDescent="0.3"/>
    <row r="661" s="51" customFormat="1" ht="13.8" x14ac:dyDescent="0.3"/>
    <row r="662" s="51" customFormat="1" ht="13.8" x14ac:dyDescent="0.3"/>
    <row r="663" s="51" customFormat="1" ht="13.8" x14ac:dyDescent="0.3"/>
    <row r="664" s="51" customFormat="1" ht="13.8" x14ac:dyDescent="0.3"/>
    <row r="665" s="51" customFormat="1" ht="13.8" x14ac:dyDescent="0.3"/>
    <row r="666" s="51" customFormat="1" ht="13.8" x14ac:dyDescent="0.3"/>
    <row r="667" s="51" customFormat="1" ht="13.8" x14ac:dyDescent="0.3"/>
    <row r="668" s="51" customFormat="1" ht="13.8" x14ac:dyDescent="0.3"/>
    <row r="669" s="51" customFormat="1" ht="13.8" x14ac:dyDescent="0.3"/>
    <row r="670" s="51" customFormat="1" ht="13.8" x14ac:dyDescent="0.3"/>
    <row r="671" s="51" customFormat="1" ht="13.8" x14ac:dyDescent="0.3"/>
    <row r="672" s="51" customFormat="1" ht="13.8" x14ac:dyDescent="0.3"/>
    <row r="673" s="51" customFormat="1" ht="13.8" x14ac:dyDescent="0.3"/>
    <row r="674" s="51" customFormat="1" ht="13.8" x14ac:dyDescent="0.3"/>
    <row r="675" s="51" customFormat="1" ht="13.8" x14ac:dyDescent="0.3"/>
    <row r="676" s="51" customFormat="1" ht="13.8" x14ac:dyDescent="0.3"/>
    <row r="677" s="51" customFormat="1" ht="13.8" x14ac:dyDescent="0.3"/>
    <row r="678" s="51" customFormat="1" ht="13.8" x14ac:dyDescent="0.3"/>
    <row r="679" s="51" customFormat="1" ht="13.8" x14ac:dyDescent="0.3"/>
    <row r="680" s="51" customFormat="1" ht="13.8" x14ac:dyDescent="0.3"/>
    <row r="681" s="51" customFormat="1" ht="13.8" x14ac:dyDescent="0.3"/>
    <row r="682" s="51" customFormat="1" ht="13.8" x14ac:dyDescent="0.3"/>
    <row r="683" s="51" customFormat="1" ht="13.8" x14ac:dyDescent="0.3"/>
    <row r="684" s="51" customFormat="1" ht="13.8" x14ac:dyDescent="0.3"/>
    <row r="685" s="51" customFormat="1" ht="13.8" x14ac:dyDescent="0.3"/>
    <row r="686" s="51" customFormat="1" ht="13.8" x14ac:dyDescent="0.3"/>
    <row r="687" s="51" customFormat="1" ht="13.8" x14ac:dyDescent="0.3"/>
    <row r="688" s="51" customFormat="1" ht="13.8" x14ac:dyDescent="0.3"/>
    <row r="689" s="51" customFormat="1" ht="13.8" x14ac:dyDescent="0.3"/>
    <row r="690" s="51" customFormat="1" ht="13.8" x14ac:dyDescent="0.3"/>
    <row r="691" s="51" customFormat="1" ht="13.8" x14ac:dyDescent="0.3"/>
    <row r="692" s="51" customFormat="1" ht="13.8" x14ac:dyDescent="0.3"/>
    <row r="693" s="51" customFormat="1" ht="13.8" x14ac:dyDescent="0.3"/>
    <row r="694" s="51" customFormat="1" ht="13.8" x14ac:dyDescent="0.3"/>
    <row r="695" s="51" customFormat="1" ht="13.8" x14ac:dyDescent="0.3"/>
    <row r="696" s="51" customFormat="1" ht="13.8" x14ac:dyDescent="0.3"/>
    <row r="697" s="51" customFormat="1" ht="13.8" x14ac:dyDescent="0.3"/>
    <row r="698" s="51" customFormat="1" ht="13.8" x14ac:dyDescent="0.3"/>
    <row r="699" s="51" customFormat="1" ht="13.8" x14ac:dyDescent="0.3"/>
    <row r="700" s="51" customFormat="1" ht="13.8" x14ac:dyDescent="0.3"/>
    <row r="701" s="51" customFormat="1" ht="13.8" x14ac:dyDescent="0.3"/>
    <row r="702" s="51" customFormat="1" ht="13.8" x14ac:dyDescent="0.3"/>
    <row r="703" s="51" customFormat="1" ht="13.8" x14ac:dyDescent="0.3"/>
    <row r="704" s="51" customFormat="1" ht="13.8" x14ac:dyDescent="0.3"/>
    <row r="705" s="51" customFormat="1" ht="13.8" x14ac:dyDescent="0.3"/>
    <row r="706" s="51" customFormat="1" ht="13.8" x14ac:dyDescent="0.3"/>
    <row r="707" s="51" customFormat="1" ht="13.8" x14ac:dyDescent="0.3"/>
    <row r="708" s="51" customFormat="1" ht="13.8" x14ac:dyDescent="0.3"/>
    <row r="709" s="51" customFormat="1" ht="13.8" x14ac:dyDescent="0.3"/>
    <row r="710" s="51" customFormat="1" ht="13.8" x14ac:dyDescent="0.3"/>
    <row r="711" s="51" customFormat="1" ht="13.8" x14ac:dyDescent="0.3"/>
    <row r="712" s="51" customFormat="1" ht="13.8" x14ac:dyDescent="0.3"/>
    <row r="713" s="51" customFormat="1" ht="13.8" x14ac:dyDescent="0.3"/>
    <row r="714" s="51" customFormat="1" ht="13.8" x14ac:dyDescent="0.3"/>
    <row r="715" s="51" customFormat="1" ht="13.8" x14ac:dyDescent="0.3"/>
    <row r="716" s="51" customFormat="1" ht="13.8" x14ac:dyDescent="0.3"/>
    <row r="717" s="51" customFormat="1" ht="13.8" x14ac:dyDescent="0.3"/>
    <row r="718" s="51" customFormat="1" ht="13.8" x14ac:dyDescent="0.3"/>
    <row r="719" s="51" customFormat="1" ht="13.8" x14ac:dyDescent="0.3"/>
    <row r="720" s="51" customFormat="1" ht="13.8" x14ac:dyDescent="0.3"/>
    <row r="721" s="51" customFormat="1" ht="13.8" x14ac:dyDescent="0.3"/>
    <row r="722" s="51" customFormat="1" ht="13.8" x14ac:dyDescent="0.3"/>
    <row r="723" s="51" customFormat="1" ht="13.8" x14ac:dyDescent="0.3"/>
    <row r="724" s="51" customFormat="1" ht="13.8" x14ac:dyDescent="0.3"/>
    <row r="725" s="51" customFormat="1" ht="13.8" x14ac:dyDescent="0.3"/>
    <row r="726" s="51" customFormat="1" ht="13.8" x14ac:dyDescent="0.3"/>
    <row r="727" s="51" customFormat="1" ht="13.8" x14ac:dyDescent="0.3"/>
    <row r="728" s="51" customFormat="1" ht="13.8" x14ac:dyDescent="0.3"/>
    <row r="729" s="51" customFormat="1" ht="13.8" x14ac:dyDescent="0.3"/>
    <row r="730" s="51" customFormat="1" ht="13.8" x14ac:dyDescent="0.3"/>
    <row r="731" s="51" customFormat="1" ht="13.8" x14ac:dyDescent="0.3"/>
    <row r="732" s="51" customFormat="1" ht="13.8" x14ac:dyDescent="0.3"/>
    <row r="733" s="51" customFormat="1" ht="13.8" x14ac:dyDescent="0.3"/>
    <row r="734" s="51" customFormat="1" ht="13.8" x14ac:dyDescent="0.3"/>
    <row r="735" s="51" customFormat="1" ht="13.8" x14ac:dyDescent="0.3"/>
    <row r="736" s="51" customFormat="1" ht="13.8" x14ac:dyDescent="0.3"/>
    <row r="737" s="51" customFormat="1" ht="13.8" x14ac:dyDescent="0.3"/>
    <row r="738" s="51" customFormat="1" ht="13.8" x14ac:dyDescent="0.3"/>
    <row r="739" s="51" customFormat="1" ht="13.8" x14ac:dyDescent="0.3"/>
    <row r="740" s="51" customFormat="1" ht="13.8" x14ac:dyDescent="0.3"/>
    <row r="741" s="51" customFormat="1" ht="13.8" x14ac:dyDescent="0.3"/>
    <row r="742" s="51" customFormat="1" ht="13.8" x14ac:dyDescent="0.3"/>
    <row r="743" s="51" customFormat="1" ht="13.8" x14ac:dyDescent="0.3"/>
    <row r="744" s="51" customFormat="1" ht="13.8" x14ac:dyDescent="0.3"/>
    <row r="745" s="51" customFormat="1" ht="13.8" x14ac:dyDescent="0.3"/>
    <row r="746" s="51" customFormat="1" ht="13.8" x14ac:dyDescent="0.3"/>
    <row r="747" s="51" customFormat="1" ht="13.8" x14ac:dyDescent="0.3"/>
    <row r="748" s="51" customFormat="1" ht="13.8" x14ac:dyDescent="0.3"/>
    <row r="749" s="51" customFormat="1" ht="13.8" x14ac:dyDescent="0.3"/>
    <row r="750" s="51" customFormat="1" ht="13.8" x14ac:dyDescent="0.3"/>
    <row r="751" s="51" customFormat="1" ht="13.8" x14ac:dyDescent="0.3"/>
    <row r="752" s="51" customFormat="1" ht="13.8" x14ac:dyDescent="0.3"/>
    <row r="753" s="51" customFormat="1" ht="13.8" x14ac:dyDescent="0.3"/>
    <row r="754" s="51" customFormat="1" ht="13.8" x14ac:dyDescent="0.3"/>
    <row r="755" s="51" customFormat="1" ht="13.8" x14ac:dyDescent="0.3"/>
    <row r="756" s="51" customFormat="1" ht="13.8" x14ac:dyDescent="0.3"/>
    <row r="757" s="51" customFormat="1" ht="13.8" x14ac:dyDescent="0.3"/>
    <row r="758" s="51" customFormat="1" ht="13.8" x14ac:dyDescent="0.3"/>
    <row r="759" s="51" customFormat="1" ht="13.8" x14ac:dyDescent="0.3"/>
    <row r="760" s="51" customFormat="1" ht="13.8" x14ac:dyDescent="0.3"/>
    <row r="761" s="51" customFormat="1" ht="13.8" x14ac:dyDescent="0.3"/>
    <row r="762" s="51" customFormat="1" ht="13.8" x14ac:dyDescent="0.3"/>
    <row r="763" s="51" customFormat="1" ht="13.8" x14ac:dyDescent="0.3"/>
    <row r="764" s="51" customFormat="1" ht="13.8" x14ac:dyDescent="0.3"/>
    <row r="765" s="51" customFormat="1" ht="13.8" x14ac:dyDescent="0.3"/>
    <row r="766" s="51" customFormat="1" ht="13.8" x14ac:dyDescent="0.3"/>
    <row r="767" s="51" customFormat="1" ht="13.8" x14ac:dyDescent="0.3"/>
    <row r="768" s="51" customFormat="1" ht="13.8" x14ac:dyDescent="0.3"/>
    <row r="769" s="51" customFormat="1" ht="13.8" x14ac:dyDescent="0.3"/>
    <row r="770" s="51" customFormat="1" ht="13.8" x14ac:dyDescent="0.3"/>
    <row r="771" s="51" customFormat="1" ht="13.8" x14ac:dyDescent="0.3"/>
    <row r="772" s="51" customFormat="1" ht="13.8" x14ac:dyDescent="0.3"/>
    <row r="773" s="51" customFormat="1" ht="13.8" x14ac:dyDescent="0.3"/>
    <row r="774" s="51" customFormat="1" ht="13.8" x14ac:dyDescent="0.3"/>
    <row r="775" s="51" customFormat="1" ht="13.8" x14ac:dyDescent="0.3"/>
    <row r="776" s="51" customFormat="1" ht="13.8" x14ac:dyDescent="0.3"/>
    <row r="777" s="51" customFormat="1" ht="13.8" x14ac:dyDescent="0.3"/>
    <row r="778" s="51" customFormat="1" ht="13.8" x14ac:dyDescent="0.3"/>
    <row r="779" s="51" customFormat="1" ht="13.8" x14ac:dyDescent="0.3"/>
    <row r="780" s="51" customFormat="1" ht="13.8" x14ac:dyDescent="0.3"/>
    <row r="781" s="51" customFormat="1" ht="13.8" x14ac:dyDescent="0.3"/>
    <row r="782" s="51" customFormat="1" ht="13.8" x14ac:dyDescent="0.3"/>
    <row r="783" s="51" customFormat="1" ht="13.8" x14ac:dyDescent="0.3"/>
    <row r="784" s="51" customFormat="1" ht="13.8" x14ac:dyDescent="0.3"/>
    <row r="785" s="51" customFormat="1" ht="13.8" x14ac:dyDescent="0.3"/>
    <row r="786" s="51" customFormat="1" ht="13.8" x14ac:dyDescent="0.3"/>
    <row r="787" s="51" customFormat="1" ht="13.8" x14ac:dyDescent="0.3"/>
    <row r="788" s="51" customFormat="1" ht="13.8" x14ac:dyDescent="0.3"/>
    <row r="789" s="51" customFormat="1" ht="13.8" x14ac:dyDescent="0.3"/>
    <row r="790" s="51" customFormat="1" ht="13.8" x14ac:dyDescent="0.3"/>
    <row r="791" s="51" customFormat="1" ht="13.8" x14ac:dyDescent="0.3"/>
    <row r="792" s="51" customFormat="1" ht="13.8" x14ac:dyDescent="0.3"/>
    <row r="793" s="51" customFormat="1" ht="13.8" x14ac:dyDescent="0.3"/>
    <row r="794" s="51" customFormat="1" ht="13.8" x14ac:dyDescent="0.3"/>
    <row r="795" s="51" customFormat="1" ht="13.8" x14ac:dyDescent="0.3"/>
    <row r="796" s="51" customFormat="1" ht="13.8" x14ac:dyDescent="0.3"/>
    <row r="797" s="51" customFormat="1" ht="13.8" x14ac:dyDescent="0.3"/>
    <row r="798" s="51" customFormat="1" ht="13.8" x14ac:dyDescent="0.3"/>
    <row r="799" s="51" customFormat="1" ht="13.8" x14ac:dyDescent="0.3"/>
    <row r="800" s="51" customFormat="1" ht="13.8" x14ac:dyDescent="0.3"/>
    <row r="801" s="51" customFormat="1" ht="13.8" x14ac:dyDescent="0.3"/>
    <row r="802" s="51" customFormat="1" ht="13.8" x14ac:dyDescent="0.3"/>
    <row r="803" s="51" customFormat="1" ht="13.8" x14ac:dyDescent="0.3"/>
    <row r="804" s="51" customFormat="1" ht="13.8" x14ac:dyDescent="0.3"/>
    <row r="805" s="51" customFormat="1" ht="13.8" x14ac:dyDescent="0.3"/>
    <row r="806" s="51" customFormat="1" ht="13.8" x14ac:dyDescent="0.3"/>
    <row r="807" s="51" customFormat="1" ht="13.8" x14ac:dyDescent="0.3"/>
    <row r="808" s="51" customFormat="1" ht="13.8" x14ac:dyDescent="0.3"/>
    <row r="809" s="51" customFormat="1" ht="13.8" x14ac:dyDescent="0.3"/>
    <row r="810" s="51" customFormat="1" ht="13.8" x14ac:dyDescent="0.3"/>
    <row r="811" s="51" customFormat="1" ht="13.8" x14ac:dyDescent="0.3"/>
    <row r="812" s="51" customFormat="1" ht="13.8" x14ac:dyDescent="0.3"/>
    <row r="813" s="51" customFormat="1" ht="13.8" x14ac:dyDescent="0.3"/>
    <row r="814" s="51" customFormat="1" ht="13.8" x14ac:dyDescent="0.3"/>
    <row r="815" s="51" customFormat="1" ht="13.8" x14ac:dyDescent="0.3"/>
    <row r="816" s="51" customFormat="1" ht="13.8" x14ac:dyDescent="0.3"/>
    <row r="817" s="51" customFormat="1" ht="13.8" x14ac:dyDescent="0.3"/>
    <row r="818" s="51" customFormat="1" ht="13.8" x14ac:dyDescent="0.3"/>
    <row r="819" s="51" customFormat="1" ht="13.8" x14ac:dyDescent="0.3"/>
    <row r="820" s="51" customFormat="1" ht="13.8" x14ac:dyDescent="0.3"/>
    <row r="821" s="51" customFormat="1" ht="13.8" x14ac:dyDescent="0.3"/>
    <row r="822" s="51" customFormat="1" ht="13.8" x14ac:dyDescent="0.3"/>
    <row r="823" s="51" customFormat="1" ht="13.8" x14ac:dyDescent="0.3"/>
    <row r="824" s="51" customFormat="1" ht="13.8" x14ac:dyDescent="0.3"/>
    <row r="825" s="51" customFormat="1" ht="13.8" x14ac:dyDescent="0.3"/>
    <row r="826" s="51" customFormat="1" ht="13.8" x14ac:dyDescent="0.3"/>
    <row r="827" s="51" customFormat="1" ht="13.8" x14ac:dyDescent="0.3"/>
    <row r="828" s="51" customFormat="1" ht="13.8" x14ac:dyDescent="0.3"/>
    <row r="829" s="51" customFormat="1" ht="13.8" x14ac:dyDescent="0.3"/>
    <row r="830" s="51" customFormat="1" ht="13.8" x14ac:dyDescent="0.3"/>
    <row r="831" s="51" customFormat="1" ht="13.8" x14ac:dyDescent="0.3"/>
    <row r="832" s="51" customFormat="1" ht="13.8" x14ac:dyDescent="0.3"/>
    <row r="833" s="51" customFormat="1" ht="13.8" x14ac:dyDescent="0.3"/>
    <row r="834" s="51" customFormat="1" ht="13.8" x14ac:dyDescent="0.3"/>
    <row r="835" s="51" customFormat="1" ht="13.8" x14ac:dyDescent="0.3"/>
    <row r="836" s="51" customFormat="1" ht="13.8" x14ac:dyDescent="0.3"/>
    <row r="837" s="51" customFormat="1" ht="13.8" x14ac:dyDescent="0.3"/>
    <row r="838" s="51" customFormat="1" ht="13.8" x14ac:dyDescent="0.3"/>
    <row r="839" s="51" customFormat="1" ht="13.8" x14ac:dyDescent="0.3"/>
    <row r="840" s="51" customFormat="1" ht="13.8" x14ac:dyDescent="0.3"/>
    <row r="841" s="51" customFormat="1" ht="13.8" x14ac:dyDescent="0.3"/>
    <row r="842" s="51" customFormat="1" ht="13.8" x14ac:dyDescent="0.3"/>
    <row r="843" s="51" customFormat="1" ht="13.8" x14ac:dyDescent="0.3"/>
    <row r="844" s="51" customFormat="1" ht="13.8" x14ac:dyDescent="0.3"/>
    <row r="845" s="51" customFormat="1" ht="13.8" x14ac:dyDescent="0.3"/>
    <row r="846" s="51" customFormat="1" ht="13.8" x14ac:dyDescent="0.3"/>
    <row r="847" s="51" customFormat="1" ht="13.8" x14ac:dyDescent="0.3"/>
    <row r="848" s="51" customFormat="1" ht="13.8" x14ac:dyDescent="0.3"/>
    <row r="849" s="51" customFormat="1" ht="13.8" x14ac:dyDescent="0.3"/>
    <row r="850" s="51" customFormat="1" ht="13.8" x14ac:dyDescent="0.3"/>
    <row r="851" s="51" customFormat="1" ht="13.8" x14ac:dyDescent="0.3"/>
    <row r="852" s="51" customFormat="1" ht="13.8" x14ac:dyDescent="0.3"/>
    <row r="853" s="51" customFormat="1" ht="13.8" x14ac:dyDescent="0.3"/>
    <row r="854" s="51" customFormat="1" ht="13.8" x14ac:dyDescent="0.3"/>
    <row r="855" s="51" customFormat="1" ht="13.8" x14ac:dyDescent="0.3"/>
    <row r="856" s="51" customFormat="1" ht="13.8" x14ac:dyDescent="0.3"/>
    <row r="857" s="51" customFormat="1" ht="13.8" x14ac:dyDescent="0.3"/>
    <row r="858" s="51" customFormat="1" ht="13.8" x14ac:dyDescent="0.3"/>
    <row r="859" s="51" customFormat="1" ht="13.8" x14ac:dyDescent="0.3"/>
    <row r="860" s="51" customFormat="1" ht="13.8" x14ac:dyDescent="0.3"/>
    <row r="861" s="51" customFormat="1" ht="13.8" x14ac:dyDescent="0.3"/>
    <row r="862" s="51" customFormat="1" ht="13.8" x14ac:dyDescent="0.3"/>
    <row r="863" s="51" customFormat="1" ht="13.8" x14ac:dyDescent="0.3"/>
    <row r="864" s="51" customFormat="1" ht="13.8" x14ac:dyDescent="0.3"/>
    <row r="865" s="51" customFormat="1" ht="13.8" x14ac:dyDescent="0.3"/>
    <row r="866" s="51" customFormat="1" ht="13.8" x14ac:dyDescent="0.3"/>
    <row r="867" s="51" customFormat="1" ht="13.8" x14ac:dyDescent="0.3"/>
    <row r="868" s="51" customFormat="1" ht="13.8" x14ac:dyDescent="0.3"/>
    <row r="869" s="51" customFormat="1" ht="13.8" x14ac:dyDescent="0.3"/>
    <row r="870" s="51" customFormat="1" ht="13.8" x14ac:dyDescent="0.3"/>
    <row r="871" s="51" customFormat="1" ht="13.8" x14ac:dyDescent="0.3"/>
    <row r="872" s="51" customFormat="1" ht="13.8" x14ac:dyDescent="0.3"/>
    <row r="873" s="51" customFormat="1" ht="13.8" x14ac:dyDescent="0.3"/>
    <row r="874" s="51" customFormat="1" ht="13.8" x14ac:dyDescent="0.3"/>
    <row r="875" s="51" customFormat="1" ht="13.8" x14ac:dyDescent="0.3"/>
    <row r="876" s="51" customFormat="1" ht="13.8" x14ac:dyDescent="0.3"/>
    <row r="877" s="51" customFormat="1" ht="13.8" x14ac:dyDescent="0.3"/>
    <row r="878" s="51" customFormat="1" ht="13.8" x14ac:dyDescent="0.3"/>
    <row r="879" s="51" customFormat="1" ht="13.8" x14ac:dyDescent="0.3"/>
    <row r="880" s="51" customFormat="1" ht="13.8" x14ac:dyDescent="0.3"/>
    <row r="881" s="51" customFormat="1" ht="13.8" x14ac:dyDescent="0.3"/>
    <row r="882" s="51" customFormat="1" ht="13.8" x14ac:dyDescent="0.3"/>
    <row r="883" s="51" customFormat="1" ht="13.8" x14ac:dyDescent="0.3"/>
    <row r="884" s="51" customFormat="1" ht="13.8" x14ac:dyDescent="0.3"/>
    <row r="885" s="51" customFormat="1" ht="13.8" x14ac:dyDescent="0.3"/>
    <row r="886" s="51" customFormat="1" ht="13.8" x14ac:dyDescent="0.3"/>
    <row r="887" s="51" customFormat="1" ht="13.8" x14ac:dyDescent="0.3"/>
    <row r="888" s="51" customFormat="1" ht="13.8" x14ac:dyDescent="0.3"/>
    <row r="889" s="51" customFormat="1" ht="13.8" x14ac:dyDescent="0.3"/>
    <row r="890" s="51" customFormat="1" ht="13.8" x14ac:dyDescent="0.3"/>
    <row r="891" s="51" customFormat="1" ht="13.8" x14ac:dyDescent="0.3"/>
    <row r="892" s="51" customFormat="1" ht="13.8" x14ac:dyDescent="0.3"/>
    <row r="893" s="51" customFormat="1" ht="13.8" x14ac:dyDescent="0.3"/>
    <row r="894" s="51" customFormat="1" ht="13.8" x14ac:dyDescent="0.3"/>
    <row r="895" s="51" customFormat="1" ht="13.8" x14ac:dyDescent="0.3"/>
    <row r="896" s="51" customFormat="1" ht="13.8" x14ac:dyDescent="0.3"/>
    <row r="897" s="51" customFormat="1" ht="13.8" x14ac:dyDescent="0.3"/>
    <row r="898" s="51" customFormat="1" ht="13.8" x14ac:dyDescent="0.3"/>
    <row r="899" s="51" customFormat="1" ht="13.8" x14ac:dyDescent="0.3"/>
    <row r="900" s="51" customFormat="1" ht="13.8" x14ac:dyDescent="0.3"/>
    <row r="901" s="51" customFormat="1" ht="13.8" x14ac:dyDescent="0.3"/>
    <row r="902" s="51" customFormat="1" ht="13.8" x14ac:dyDescent="0.3"/>
    <row r="903" s="51" customFormat="1" ht="13.8" x14ac:dyDescent="0.3"/>
    <row r="904" s="51" customFormat="1" ht="13.8" x14ac:dyDescent="0.3"/>
    <row r="905" s="51" customFormat="1" ht="13.8" x14ac:dyDescent="0.3"/>
    <row r="906" s="51" customFormat="1" ht="13.8" x14ac:dyDescent="0.3"/>
    <row r="907" s="51" customFormat="1" ht="13.8" x14ac:dyDescent="0.3"/>
    <row r="908" s="51" customFormat="1" ht="13.8" x14ac:dyDescent="0.3"/>
    <row r="909" s="51" customFormat="1" ht="13.8" x14ac:dyDescent="0.3"/>
    <row r="910" s="51" customFormat="1" ht="13.8" x14ac:dyDescent="0.3"/>
    <row r="911" s="51" customFormat="1" ht="13.8" x14ac:dyDescent="0.3"/>
    <row r="912" s="51" customFormat="1" ht="13.8" x14ac:dyDescent="0.3"/>
    <row r="913" s="51" customFormat="1" ht="13.8" x14ac:dyDescent="0.3"/>
    <row r="914" s="51" customFormat="1" ht="13.8" x14ac:dyDescent="0.3"/>
    <row r="915" s="51" customFormat="1" ht="13.8" x14ac:dyDescent="0.3"/>
    <row r="916" s="51" customFormat="1" ht="13.8" x14ac:dyDescent="0.3"/>
    <row r="917" s="51" customFormat="1" ht="13.8" x14ac:dyDescent="0.3"/>
    <row r="918" s="51" customFormat="1" ht="13.8" x14ac:dyDescent="0.3"/>
    <row r="919" s="51" customFormat="1" ht="13.8" x14ac:dyDescent="0.3"/>
    <row r="920" s="51" customFormat="1" ht="13.8" x14ac:dyDescent="0.3"/>
    <row r="921" s="51" customFormat="1" ht="13.8" x14ac:dyDescent="0.3"/>
    <row r="922" s="51" customFormat="1" ht="13.8" x14ac:dyDescent="0.3"/>
    <row r="923" s="51" customFormat="1" ht="13.8" x14ac:dyDescent="0.3"/>
    <row r="924" s="51" customFormat="1" ht="13.8" x14ac:dyDescent="0.3"/>
    <row r="925" s="51" customFormat="1" ht="13.8" x14ac:dyDescent="0.3"/>
    <row r="926" s="51" customFormat="1" ht="13.8" x14ac:dyDescent="0.3"/>
    <row r="927" s="51" customFormat="1" ht="13.8" x14ac:dyDescent="0.3"/>
    <row r="928" s="51" customFormat="1" ht="13.8" x14ac:dyDescent="0.3"/>
    <row r="929" s="51" customFormat="1" ht="13.8" x14ac:dyDescent="0.3"/>
    <row r="930" s="51" customFormat="1" ht="13.8" x14ac:dyDescent="0.3"/>
    <row r="931" s="51" customFormat="1" ht="13.8" x14ac:dyDescent="0.3"/>
    <row r="932" s="51" customFormat="1" ht="13.8" x14ac:dyDescent="0.3"/>
    <row r="933" s="51" customFormat="1" ht="13.8" x14ac:dyDescent="0.3"/>
    <row r="934" s="51" customFormat="1" ht="13.8" x14ac:dyDescent="0.3"/>
    <row r="935" s="51" customFormat="1" ht="13.8" x14ac:dyDescent="0.3"/>
    <row r="936" s="51" customFormat="1" ht="13.8" x14ac:dyDescent="0.3"/>
    <row r="937" s="51" customFormat="1" ht="13.8" x14ac:dyDescent="0.3"/>
    <row r="938" s="51" customFormat="1" ht="13.8" x14ac:dyDescent="0.3"/>
    <row r="939" s="51" customFormat="1" ht="13.8" x14ac:dyDescent="0.3"/>
    <row r="940" s="51" customFormat="1" ht="13.8" x14ac:dyDescent="0.3"/>
    <row r="941" s="51" customFormat="1" ht="13.8" x14ac:dyDescent="0.3"/>
    <row r="942" s="51" customFormat="1" ht="13.8" x14ac:dyDescent="0.3"/>
    <row r="943" s="51" customFormat="1" ht="13.8" x14ac:dyDescent="0.3"/>
    <row r="944" s="51" customFormat="1" ht="13.8" x14ac:dyDescent="0.3"/>
    <row r="945" s="51" customFormat="1" ht="13.8" x14ac:dyDescent="0.3"/>
    <row r="946" s="51" customFormat="1" ht="13.8" x14ac:dyDescent="0.3"/>
    <row r="947" s="51" customFormat="1" ht="13.8" x14ac:dyDescent="0.3"/>
    <row r="948" s="51" customFormat="1" ht="13.8" x14ac:dyDescent="0.3"/>
    <row r="949" s="51" customFormat="1" ht="13.8" x14ac:dyDescent="0.3"/>
    <row r="950" s="51" customFormat="1" ht="13.8" x14ac:dyDescent="0.3"/>
    <row r="951" s="51" customFormat="1" ht="13.8" x14ac:dyDescent="0.3"/>
    <row r="952" s="51" customFormat="1" ht="13.8" x14ac:dyDescent="0.3"/>
    <row r="953" s="51" customFormat="1" ht="13.8" x14ac:dyDescent="0.3"/>
    <row r="954" s="51" customFormat="1" ht="13.8" x14ac:dyDescent="0.3"/>
    <row r="955" s="51" customFormat="1" ht="13.8" x14ac:dyDescent="0.3"/>
    <row r="956" s="51" customFormat="1" ht="13.8" x14ac:dyDescent="0.3"/>
    <row r="957" s="51" customFormat="1" ht="13.8" x14ac:dyDescent="0.3"/>
    <row r="958" s="51" customFormat="1" ht="13.8" x14ac:dyDescent="0.3"/>
    <row r="959" s="51" customFormat="1" ht="13.8" x14ac:dyDescent="0.3"/>
    <row r="960" s="51" customFormat="1" ht="13.8" x14ac:dyDescent="0.3"/>
    <row r="961" s="51" customFormat="1" ht="13.8" x14ac:dyDescent="0.3"/>
    <row r="962" s="51" customFormat="1" ht="13.8" x14ac:dyDescent="0.3"/>
    <row r="963" s="51" customFormat="1" ht="13.8" x14ac:dyDescent="0.3"/>
    <row r="964" s="51" customFormat="1" ht="13.8" x14ac:dyDescent="0.3"/>
    <row r="965" s="51" customFormat="1" ht="13.8" x14ac:dyDescent="0.3"/>
    <row r="966" s="51" customFormat="1" ht="13.8" x14ac:dyDescent="0.3"/>
    <row r="967" s="51" customFormat="1" ht="13.8" x14ac:dyDescent="0.3"/>
    <row r="968" s="51" customFormat="1" ht="13.8" x14ac:dyDescent="0.3"/>
    <row r="969" s="51" customFormat="1" ht="13.8" x14ac:dyDescent="0.3"/>
    <row r="970" s="51" customFormat="1" ht="13.8" x14ac:dyDescent="0.3"/>
    <row r="971" s="51" customFormat="1" ht="13.8" x14ac:dyDescent="0.3"/>
    <row r="972" s="51" customFormat="1" ht="13.8" x14ac:dyDescent="0.3"/>
    <row r="973" s="51" customFormat="1" ht="13.8" x14ac:dyDescent="0.3"/>
    <row r="974" s="51" customFormat="1" ht="13.8" x14ac:dyDescent="0.3"/>
    <row r="975" s="51" customFormat="1" ht="13.8" x14ac:dyDescent="0.3"/>
    <row r="976" s="51" customFormat="1" ht="13.8" x14ac:dyDescent="0.3"/>
    <row r="977" s="51" customFormat="1" ht="13.8" x14ac:dyDescent="0.3"/>
    <row r="978" s="51" customFormat="1" ht="13.8" x14ac:dyDescent="0.3"/>
    <row r="979" s="51" customFormat="1" ht="13.8" x14ac:dyDescent="0.3"/>
    <row r="980" s="51" customFormat="1" ht="13.8" x14ac:dyDescent="0.3"/>
    <row r="981" s="51" customFormat="1" ht="13.8" x14ac:dyDescent="0.3"/>
    <row r="982" s="51" customFormat="1" ht="13.8" x14ac:dyDescent="0.3"/>
    <row r="983" s="51" customFormat="1" ht="13.8" x14ac:dyDescent="0.3"/>
    <row r="984" s="51" customFormat="1" ht="13.8" x14ac:dyDescent="0.3"/>
    <row r="985" s="51" customFormat="1" ht="13.8" x14ac:dyDescent="0.3"/>
    <row r="986" s="51" customFormat="1" ht="13.8" x14ac:dyDescent="0.3"/>
    <row r="987" s="51" customFormat="1" ht="13.8" x14ac:dyDescent="0.3"/>
    <row r="988" s="51" customFormat="1" ht="13.8" x14ac:dyDescent="0.3"/>
    <row r="989" s="51" customFormat="1" ht="13.8" x14ac:dyDescent="0.3"/>
    <row r="990" s="51" customFormat="1" ht="13.8" x14ac:dyDescent="0.3"/>
    <row r="991" s="51" customFormat="1" ht="13.8" x14ac:dyDescent="0.3"/>
    <row r="992" s="51" customFormat="1" ht="13.8" x14ac:dyDescent="0.3"/>
    <row r="993" s="51" customFormat="1" ht="13.8" x14ac:dyDescent="0.3"/>
    <row r="994" s="51" customFormat="1" ht="13.8" x14ac:dyDescent="0.3"/>
    <row r="995" s="51" customFormat="1" ht="13.8" x14ac:dyDescent="0.3"/>
    <row r="996" s="51" customFormat="1" ht="13.8" x14ac:dyDescent="0.3"/>
    <row r="997" s="51" customFormat="1" ht="13.8" x14ac:dyDescent="0.3"/>
    <row r="998" s="51" customFormat="1" ht="13.8" x14ac:dyDescent="0.3"/>
    <row r="999" s="51" customFormat="1" ht="13.8" x14ac:dyDescent="0.3"/>
    <row r="1000" s="51" customFormat="1" ht="13.8" x14ac:dyDescent="0.3"/>
    <row r="1001" s="51" customFormat="1" ht="13.8" x14ac:dyDescent="0.3"/>
    <row r="1002" s="51" customFormat="1" ht="13.8" x14ac:dyDescent="0.3"/>
    <row r="1003" s="51" customFormat="1" ht="13.8" x14ac:dyDescent="0.3"/>
    <row r="1004" s="51" customFormat="1" ht="13.8" x14ac:dyDescent="0.3"/>
    <row r="1005" s="51" customFormat="1" ht="13.8" x14ac:dyDescent="0.3"/>
    <row r="1006" s="51" customFormat="1" ht="13.8" x14ac:dyDescent="0.3"/>
    <row r="1007" s="51" customFormat="1" ht="13.8" x14ac:dyDescent="0.3"/>
    <row r="1008" s="51" customFormat="1" ht="13.8" x14ac:dyDescent="0.3"/>
    <row r="1009" s="51" customFormat="1" ht="13.8" x14ac:dyDescent="0.3"/>
    <row r="1010" s="51" customFormat="1" ht="13.8" x14ac:dyDescent="0.3"/>
    <row r="1011" s="51" customFormat="1" ht="13.8" x14ac:dyDescent="0.3"/>
    <row r="1012" s="51" customFormat="1" ht="13.8" x14ac:dyDescent="0.3"/>
    <row r="1013" s="51" customFormat="1" ht="13.8" x14ac:dyDescent="0.3"/>
    <row r="1014" s="51" customFormat="1" ht="13.8" x14ac:dyDescent="0.3"/>
    <row r="1015" s="51" customFormat="1" ht="13.8" x14ac:dyDescent="0.3"/>
    <row r="1016" s="51" customFormat="1" ht="13.8" x14ac:dyDescent="0.3"/>
    <row r="1017" s="51" customFormat="1" ht="13.8" x14ac:dyDescent="0.3"/>
    <row r="1018" s="51" customFormat="1" ht="13.8" x14ac:dyDescent="0.3"/>
    <row r="1019" s="51" customFormat="1" ht="13.8" x14ac:dyDescent="0.3"/>
    <row r="1020" s="51" customFormat="1" ht="13.8" x14ac:dyDescent="0.3"/>
    <row r="1021" s="51" customFormat="1" ht="13.8" x14ac:dyDescent="0.3"/>
    <row r="1022" s="51" customFormat="1" ht="13.8" x14ac:dyDescent="0.3"/>
    <row r="1023" s="51" customFormat="1" ht="13.8" x14ac:dyDescent="0.3"/>
    <row r="1024" s="51" customFormat="1" ht="13.8" x14ac:dyDescent="0.3"/>
    <row r="1025" s="51" customFormat="1" ht="13.8" x14ac:dyDescent="0.3"/>
    <row r="1026" s="51" customFormat="1" ht="13.8" x14ac:dyDescent="0.3"/>
    <row r="1027" s="51" customFormat="1" ht="13.8" x14ac:dyDescent="0.3"/>
    <row r="1028" s="51" customFormat="1" ht="13.8" x14ac:dyDescent="0.3"/>
    <row r="1029" s="51" customFormat="1" ht="13.8" x14ac:dyDescent="0.3"/>
    <row r="1030" s="51" customFormat="1" ht="13.8" x14ac:dyDescent="0.3"/>
    <row r="1031" s="51" customFormat="1" ht="13.8" x14ac:dyDescent="0.3"/>
    <row r="1032" s="51" customFormat="1" ht="13.8" x14ac:dyDescent="0.3"/>
    <row r="1033" s="51" customFormat="1" ht="13.8" x14ac:dyDescent="0.3"/>
    <row r="1034" s="51" customFormat="1" ht="13.8" x14ac:dyDescent="0.3"/>
    <row r="1035" s="51" customFormat="1" ht="13.8" x14ac:dyDescent="0.3"/>
    <row r="1036" s="51" customFormat="1" ht="13.8" x14ac:dyDescent="0.3"/>
    <row r="1037" s="51" customFormat="1" ht="13.8" x14ac:dyDescent="0.3"/>
    <row r="1038" s="51" customFormat="1" ht="13.8" x14ac:dyDescent="0.3"/>
    <row r="1039" s="51" customFormat="1" ht="13.8" x14ac:dyDescent="0.3"/>
    <row r="1040" s="51" customFormat="1" ht="13.8" x14ac:dyDescent="0.3"/>
    <row r="1041" s="51" customFormat="1" ht="13.8" x14ac:dyDescent="0.3"/>
    <row r="1042" s="51" customFormat="1" ht="13.8" x14ac:dyDescent="0.3"/>
    <row r="1043" s="51" customFormat="1" ht="13.8" x14ac:dyDescent="0.3"/>
    <row r="1044" s="51" customFormat="1" ht="13.8" x14ac:dyDescent="0.3"/>
    <row r="1045" s="51" customFormat="1" ht="13.8" x14ac:dyDescent="0.3"/>
    <row r="1046" s="51" customFormat="1" ht="13.8" x14ac:dyDescent="0.3"/>
    <row r="1047" s="51" customFormat="1" ht="13.8" x14ac:dyDescent="0.3"/>
    <row r="1048" s="51" customFormat="1" ht="13.8" x14ac:dyDescent="0.3"/>
    <row r="1049" s="51" customFormat="1" ht="13.8" x14ac:dyDescent="0.3"/>
    <row r="1050" s="51" customFormat="1" ht="13.8" x14ac:dyDescent="0.3"/>
    <row r="1051" s="51" customFormat="1" ht="13.8" x14ac:dyDescent="0.3"/>
    <row r="1052" s="51" customFormat="1" ht="13.8" x14ac:dyDescent="0.3"/>
    <row r="1053" s="51" customFormat="1" ht="13.8" x14ac:dyDescent="0.3"/>
    <row r="1054" s="51" customFormat="1" ht="13.8" x14ac:dyDescent="0.3"/>
    <row r="1055" s="51" customFormat="1" ht="13.8" x14ac:dyDescent="0.3"/>
    <row r="1056" s="51" customFormat="1" ht="13.8" x14ac:dyDescent="0.3"/>
    <row r="1057" s="51" customFormat="1" ht="13.8" x14ac:dyDescent="0.3"/>
    <row r="1058" s="51" customFormat="1" ht="13.8" x14ac:dyDescent="0.3"/>
    <row r="1059" s="51" customFormat="1" ht="13.8" x14ac:dyDescent="0.3"/>
    <row r="1060" s="51" customFormat="1" ht="13.8" x14ac:dyDescent="0.3"/>
    <row r="1061" s="51" customFormat="1" ht="13.8" x14ac:dyDescent="0.3"/>
    <row r="1062" s="51" customFormat="1" ht="13.8" x14ac:dyDescent="0.3"/>
    <row r="1063" s="51" customFormat="1" ht="13.8" x14ac:dyDescent="0.3"/>
    <row r="1064" s="51" customFormat="1" ht="13.8" x14ac:dyDescent="0.3"/>
    <row r="1065" s="51" customFormat="1" ht="13.8" x14ac:dyDescent="0.3"/>
    <row r="1066" s="51" customFormat="1" ht="13.8" x14ac:dyDescent="0.3"/>
    <row r="1067" s="51" customFormat="1" ht="13.8" x14ac:dyDescent="0.3"/>
    <row r="1068" s="51" customFormat="1" ht="13.8" x14ac:dyDescent="0.3"/>
    <row r="1069" s="51" customFormat="1" ht="13.8" x14ac:dyDescent="0.3"/>
    <row r="1070" s="51" customFormat="1" ht="13.8" x14ac:dyDescent="0.3"/>
    <row r="1071" s="51" customFormat="1" ht="13.8" x14ac:dyDescent="0.3"/>
    <row r="1072" s="51" customFormat="1" ht="13.8" x14ac:dyDescent="0.3"/>
    <row r="1073" s="51" customFormat="1" ht="13.8" x14ac:dyDescent="0.3"/>
    <row r="1074" s="51" customFormat="1" ht="13.8" x14ac:dyDescent="0.3"/>
    <row r="1075" s="51" customFormat="1" ht="13.8" x14ac:dyDescent="0.3"/>
    <row r="1076" s="51" customFormat="1" ht="13.8" x14ac:dyDescent="0.3"/>
    <row r="1077" s="51" customFormat="1" ht="13.8" x14ac:dyDescent="0.3"/>
    <row r="1078" s="51" customFormat="1" ht="13.8" x14ac:dyDescent="0.3"/>
    <row r="1079" s="51" customFormat="1" ht="13.8" x14ac:dyDescent="0.3"/>
    <row r="1080" s="51" customFormat="1" ht="13.8" x14ac:dyDescent="0.3"/>
    <row r="1081" s="51" customFormat="1" ht="13.8" x14ac:dyDescent="0.3"/>
    <row r="1082" s="51" customFormat="1" ht="13.8" x14ac:dyDescent="0.3"/>
    <row r="1083" s="51" customFormat="1" ht="13.8" x14ac:dyDescent="0.3"/>
    <row r="1084" s="51" customFormat="1" ht="13.8" x14ac:dyDescent="0.3"/>
    <row r="1085" s="51" customFormat="1" ht="13.8" x14ac:dyDescent="0.3"/>
    <row r="1086" s="51" customFormat="1" ht="13.8" x14ac:dyDescent="0.3"/>
    <row r="1087" s="51" customFormat="1" ht="13.8" x14ac:dyDescent="0.3"/>
    <row r="1088" s="51" customFormat="1" ht="13.8" x14ac:dyDescent="0.3"/>
    <row r="1089" s="51" customFormat="1" ht="13.8" x14ac:dyDescent="0.3"/>
    <row r="1090" s="51" customFormat="1" ht="13.8" x14ac:dyDescent="0.3"/>
    <row r="1091" s="51" customFormat="1" ht="13.8" x14ac:dyDescent="0.3"/>
    <row r="1092" s="51" customFormat="1" ht="13.8" x14ac:dyDescent="0.3"/>
    <row r="1093" s="51" customFormat="1" ht="13.8" x14ac:dyDescent="0.3"/>
    <row r="1094" s="51" customFormat="1" ht="13.8" x14ac:dyDescent="0.3"/>
    <row r="1095" s="51" customFormat="1" ht="13.8" x14ac:dyDescent="0.3"/>
    <row r="1096" s="51" customFormat="1" ht="13.8" x14ac:dyDescent="0.3"/>
    <row r="1097" s="51" customFormat="1" ht="13.8" x14ac:dyDescent="0.3"/>
    <row r="1098" s="51" customFormat="1" ht="13.8" x14ac:dyDescent="0.3"/>
    <row r="1099" s="51" customFormat="1" ht="13.8" x14ac:dyDescent="0.3"/>
    <row r="1100" s="51" customFormat="1" ht="13.8" x14ac:dyDescent="0.3"/>
    <row r="1101" s="51" customFormat="1" ht="13.8" x14ac:dyDescent="0.3"/>
    <row r="1102" s="51" customFormat="1" ht="13.8" x14ac:dyDescent="0.3"/>
    <row r="1103" s="51" customFormat="1" ht="13.8" x14ac:dyDescent="0.3"/>
    <row r="1104" s="51" customFormat="1" ht="13.8" x14ac:dyDescent="0.3"/>
    <row r="1105" s="51" customFormat="1" ht="13.8" x14ac:dyDescent="0.3"/>
    <row r="1106" s="51" customFormat="1" ht="13.8" x14ac:dyDescent="0.3"/>
    <row r="1107" s="51" customFormat="1" ht="13.8" x14ac:dyDescent="0.3"/>
    <row r="1108" s="51" customFormat="1" ht="13.8" x14ac:dyDescent="0.3"/>
    <row r="1109" s="51" customFormat="1" ht="13.8" x14ac:dyDescent="0.3"/>
    <row r="1110" s="51" customFormat="1" ht="13.8" x14ac:dyDescent="0.3"/>
    <row r="1111" s="51" customFormat="1" ht="13.8" x14ac:dyDescent="0.3"/>
    <row r="1112" s="51" customFormat="1" ht="13.8" x14ac:dyDescent="0.3"/>
    <row r="1113" s="51" customFormat="1" ht="13.8" x14ac:dyDescent="0.3"/>
    <row r="1114" s="51" customFormat="1" ht="13.8" x14ac:dyDescent="0.3"/>
    <row r="1115" s="51" customFormat="1" ht="13.8" x14ac:dyDescent="0.3"/>
    <row r="1116" s="51" customFormat="1" ht="13.8" x14ac:dyDescent="0.3"/>
    <row r="1117" s="51" customFormat="1" ht="13.8" x14ac:dyDescent="0.3"/>
    <row r="1118" s="51" customFormat="1" ht="13.8" x14ac:dyDescent="0.3"/>
    <row r="1119" s="51" customFormat="1" ht="13.8" x14ac:dyDescent="0.3"/>
    <row r="1120" s="51" customFormat="1" ht="13.8" x14ac:dyDescent="0.3"/>
    <row r="1121" s="51" customFormat="1" ht="13.8" x14ac:dyDescent="0.3"/>
    <row r="1122" s="51" customFormat="1" ht="13.8" x14ac:dyDescent="0.3"/>
    <row r="1123" s="51" customFormat="1" ht="13.8" x14ac:dyDescent="0.3"/>
    <row r="1124" s="51" customFormat="1" ht="13.8" x14ac:dyDescent="0.3"/>
    <row r="1125" s="51" customFormat="1" ht="13.8" x14ac:dyDescent="0.3"/>
    <row r="1126" s="51" customFormat="1" ht="13.8" x14ac:dyDescent="0.3"/>
    <row r="1127" s="51" customFormat="1" ht="13.8" x14ac:dyDescent="0.3"/>
  </sheetData>
  <mergeCells count="1">
    <mergeCell ref="D2:AH2"/>
  </mergeCells>
  <pageMargins left="0.7" right="0.7" top="0.75" bottom="0.75" header="0.51180555555555496" footer="0.51180555555555496"/>
  <pageSetup paperSize="9" firstPageNumber="0" orientation="portrait" horizontalDpi="300" verticalDpi="30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subject/>
  <dc:creator>Pierre P</dc:creator>
  <dc:description>© 2017-2018 - Tatiak</dc:description>
  <cp:lastModifiedBy>Axel</cp:lastModifiedBy>
  <cp:revision>2</cp:revision>
  <cp:lastPrinted>2020-12-09T12:47:45Z</cp:lastPrinted>
  <dcterms:created xsi:type="dcterms:W3CDTF">2015-05-13T13:15:15Z</dcterms:created>
  <dcterms:modified xsi:type="dcterms:W3CDTF">2020-12-20T20:44:19Z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