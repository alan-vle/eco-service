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2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22DD550B-44EE-4629-8F28-3169011FF3ED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7" l="1"/>
  <c r="H13" i="7"/>
  <c r="H14" i="7"/>
  <c r="H15" i="7"/>
  <c r="H11" i="7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9" i="7"/>
  <c r="H6" i="7"/>
  <c r="F5" i="7"/>
  <c r="F6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H10" i="7"/>
  <c r="H2" i="7"/>
  <c r="H7" i="7"/>
  <c r="F3" i="7"/>
  <c r="H8" i="7"/>
  <c r="F2" i="7"/>
  <c r="H5" i="7"/>
  <c r="F4" i="7"/>
  <c r="H3" i="7"/>
  <c r="H4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Axel</author>
  </authors>
  <commentList>
    <comment ref="AB3" authorId="0" shapeId="0" xr:uid="{92307B2A-878A-43CD-BBAF-86CB804E66B1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2787A6A4-D7DB-4C20-A0C9-17F7FFC3A1D7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<sst xmlns="http://schemas.openxmlformats.org/spreadsheetml/2006/main" count="54" uniqueCount="28">
  <si>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</si>
  <si>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</si>
  <si>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</si>
  <si>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</si>
  <si>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</si>
  <si>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</si>
  <si>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</si>
  <si>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</si>
  <si>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</si>
  <si>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</si>
  <si>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Axel / Alan</t>
  </si>
  <si>
    <t>Affichage panier</t>
  </si>
  <si>
    <t>Ajout au panier</t>
  </si>
  <si>
    <t>Affichage produit</t>
  </si>
  <si>
    <t>Connexion</t>
  </si>
  <si>
    <t>Inscription</t>
  </si>
  <si>
    <t>Sauvegarde panier dans une variable de session</t>
  </si>
  <si>
    <t>Axel</t>
  </si>
  <si>
    <t>Mise a jour du panier</t>
  </si>
  <si>
    <t>MCD - MLD</t>
  </si>
  <si>
    <t>Ajout CartController</t>
  </si>
  <si>
    <t>janvier 2021</t>
  </si>
  <si>
    <t>février 2021</t>
  </si>
  <si>
    <t>Ajout Model Cart</t>
  </si>
  <si>
    <t>Ajout ProductController</t>
  </si>
  <si>
    <t>Ajout Model Products</t>
  </si>
  <si>
    <t>Ajout ServiceController</t>
  </si>
  <si>
    <t>Ajout Model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</si>
</sst>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  <xf numFmtId="9" fontId="0" fillId="0" borderId="9" xfId="3" applyFont="1" applyBorder="1" applyAlignment="1" applyProtection="1">
      <alignment horizontal="center"/>
    </xf>
    <xf numFmtId="9" fontId="0" fillId="0" borderId="9" xfId="0" applyNumberFormat="1" applyBorder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47" name="_4|2|44174|44176">
          <a:extLst>
            <a:ext uri="{FF2B5EF4-FFF2-40B4-BE49-F238E27FC236}">
              <a16:creationId xmlns:a16="http://schemas.microsoft.com/office/drawing/2014/main" id="{27887ACE-F1D4-4EEA-8859-F08EB3159CA2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Axel / Alan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12</xdr:col>
      <xdr:colOff>180340</xdr:colOff>
      <xdr:row>3</xdr:row>
      <xdr:rowOff>251460</xdr:rowOff>
    </xdr:to>
    <xdr:sp macro="Fiche" textlink="">
      <xdr:nvSpPr>
        <xdr:cNvPr id="48" name="__Connexion">
          <a:extLst>
            <a:ext uri="{FF2B5EF4-FFF2-40B4-BE49-F238E27FC236}">
              <a16:creationId xmlns:a16="http://schemas.microsoft.com/office/drawing/2014/main" id="{C72C97C4-D544-470D-ADC1-9CD6B2A0281E}"/>
            </a:ext>
          </a:extLst>
        </xdr:cNvPr>
        <xdr:cNvSpPr/>
      </xdr:nvSpPr>
      <xdr:spPr>
        <a:xfrm>
          <a:off x="3685540" y="1402080"/>
          <a:ext cx="33528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13</xdr:col>
      <xdr:colOff>180340</xdr:colOff>
      <xdr:row>4</xdr:row>
      <xdr:rowOff>264160</xdr:rowOff>
    </xdr:to>
    <xdr:sp macro="Fiche" textlink="">
      <xdr:nvSpPr>
        <xdr:cNvPr id="49" name="_5|1|44174|44176">
          <a:extLst>
            <a:ext uri="{FF2B5EF4-FFF2-40B4-BE49-F238E27FC236}">
              <a16:creationId xmlns:a16="http://schemas.microsoft.com/office/drawing/2014/main" id="{F660081C-69A4-490F-97AC-EBBC5BE1D7AD}"/>
            </a:ext>
          </a:extLst>
        </xdr:cNvPr>
        <xdr:cNvSpPr/>
      </xdr:nvSpPr>
      <xdr:spPr>
        <a:xfrm>
          <a:off x="3660140" y="1503680"/>
          <a:ext cx="56642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Axel / Alan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12</xdr:col>
      <xdr:colOff>180340</xdr:colOff>
      <xdr:row>4</xdr:row>
      <xdr:rowOff>251460</xdr:rowOff>
    </xdr:to>
    <xdr:sp macro="Fiche" textlink="">
      <xdr:nvSpPr>
        <xdr:cNvPr id="50" name="__Inscription">
          <a:extLst>
            <a:ext uri="{FF2B5EF4-FFF2-40B4-BE49-F238E27FC236}">
              <a16:creationId xmlns:a16="http://schemas.microsoft.com/office/drawing/2014/main" id="{9E0AC37C-022C-43AA-9FF3-5F826A28B380}"/>
            </a:ext>
          </a:extLst>
        </xdr:cNvPr>
        <xdr:cNvSpPr/>
      </xdr:nvSpPr>
      <xdr:spPr>
        <a:xfrm>
          <a:off x="3685540" y="1691640"/>
          <a:ext cx="33528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25400</xdr:colOff>
      <xdr:row>5</xdr:row>
      <xdr:rowOff>25400</xdr:rowOff>
    </xdr:from>
    <xdr:to>
      <xdr:col>18</xdr:col>
      <xdr:colOff>180340</xdr:colOff>
      <xdr:row>5</xdr:row>
      <xdr:rowOff>264160</xdr:rowOff>
    </xdr:to>
    <xdr:sp macro="Fiche" textlink="">
      <xdr:nvSpPr>
        <xdr:cNvPr id="51" name="_6|3|44176|44181">
          <a:extLst>
            <a:ext uri="{FF2B5EF4-FFF2-40B4-BE49-F238E27FC236}">
              <a16:creationId xmlns:a16="http://schemas.microsoft.com/office/drawing/2014/main" id="{BB6E3A11-3060-4D6E-B2CD-4DFAB33983D5}"/>
            </a:ext>
          </a:extLst>
        </xdr:cNvPr>
        <xdr:cNvSpPr/>
      </xdr:nvSpPr>
      <xdr:spPr>
        <a:xfrm>
          <a:off x="4071620" y="1793240"/>
          <a:ext cx="118364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Axel / Alan</a:t>
          </a:r>
        </a:p>
      </xdr:txBody>
    </xdr:sp>
    <xdr:clientData/>
  </xdr:twoCellAnchor>
  <xdr:twoCellAnchor>
    <xdr:from>
      <xdr:col>13</xdr:col>
      <xdr:colOff>50800</xdr:colOff>
      <xdr:row>5</xdr:row>
      <xdr:rowOff>213360</xdr:rowOff>
    </xdr:from>
    <xdr:to>
      <xdr:col>17</xdr:col>
      <xdr:colOff>180340</xdr:colOff>
      <xdr:row>5</xdr:row>
      <xdr:rowOff>251460</xdr:rowOff>
    </xdr:to>
    <xdr:sp macro="Fiche" textlink="">
      <xdr:nvSpPr>
        <xdr:cNvPr id="52" name="__Affichage produit">
          <a:extLst>
            <a:ext uri="{FF2B5EF4-FFF2-40B4-BE49-F238E27FC236}">
              <a16:creationId xmlns:a16="http://schemas.microsoft.com/office/drawing/2014/main" id="{B7262494-06B0-4BED-B106-38147C98E14B}"/>
            </a:ext>
          </a:extLst>
        </xdr:cNvPr>
        <xdr:cNvSpPr/>
      </xdr:nvSpPr>
      <xdr:spPr>
        <a:xfrm>
          <a:off x="4097020" y="1981200"/>
          <a:ext cx="95250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6</xdr:row>
      <xdr:rowOff>25400</xdr:rowOff>
    </xdr:from>
    <xdr:to>
      <xdr:col>20</xdr:col>
      <xdr:colOff>180340</xdr:colOff>
      <xdr:row>6</xdr:row>
      <xdr:rowOff>264160</xdr:rowOff>
    </xdr:to>
    <xdr:sp macro="Fiche" textlink="">
      <xdr:nvSpPr>
        <xdr:cNvPr id="53" name="_7|5|44177|44183">
          <a:extLst>
            <a:ext uri="{FF2B5EF4-FFF2-40B4-BE49-F238E27FC236}">
              <a16:creationId xmlns:a16="http://schemas.microsoft.com/office/drawing/2014/main" id="{989469A6-DA3F-4AF8-8EA8-AB529BB40694}"/>
            </a:ext>
          </a:extLst>
        </xdr:cNvPr>
        <xdr:cNvSpPr/>
      </xdr:nvSpPr>
      <xdr:spPr>
        <a:xfrm>
          <a:off x="4277360" y="2082800"/>
          <a:ext cx="138938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5 Axel / Alan</a:t>
          </a:r>
        </a:p>
      </xdr:txBody>
    </xdr:sp>
    <xdr:clientData/>
  </xdr:twoCellAnchor>
  <xdr:twoCellAnchor>
    <xdr:from>
      <xdr:col>14</xdr:col>
      <xdr:colOff>50800</xdr:colOff>
      <xdr:row>6</xdr:row>
      <xdr:rowOff>213360</xdr:rowOff>
    </xdr:from>
    <xdr:to>
      <xdr:col>18</xdr:col>
      <xdr:colOff>180340</xdr:colOff>
      <xdr:row>6</xdr:row>
      <xdr:rowOff>251460</xdr:rowOff>
    </xdr:to>
    <xdr:sp macro="Fiche" textlink="">
      <xdr:nvSpPr>
        <xdr:cNvPr id="54" name="__Affichage panier">
          <a:extLst>
            <a:ext uri="{FF2B5EF4-FFF2-40B4-BE49-F238E27FC236}">
              <a16:creationId xmlns:a16="http://schemas.microsoft.com/office/drawing/2014/main" id="{841AADEA-661B-479E-9454-61699FF8261C}"/>
            </a:ext>
          </a:extLst>
        </xdr:cNvPr>
        <xdr:cNvSpPr/>
      </xdr:nvSpPr>
      <xdr:spPr>
        <a:xfrm>
          <a:off x="4302760" y="2270760"/>
          <a:ext cx="95250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7</xdr:row>
      <xdr:rowOff>25400</xdr:rowOff>
    </xdr:from>
    <xdr:to>
      <xdr:col>20</xdr:col>
      <xdr:colOff>180340</xdr:colOff>
      <xdr:row>7</xdr:row>
      <xdr:rowOff>264160</xdr:rowOff>
    </xdr:to>
    <xdr:sp macro="Fiche" textlink="">
      <xdr:nvSpPr>
        <xdr:cNvPr id="55" name="_8|3|44177|44183">
          <a:extLst>
            <a:ext uri="{FF2B5EF4-FFF2-40B4-BE49-F238E27FC236}">
              <a16:creationId xmlns:a16="http://schemas.microsoft.com/office/drawing/2014/main" id="{7FB5CC4E-7C49-4E60-B02F-28CC272238D2}"/>
            </a:ext>
          </a:extLst>
        </xdr:cNvPr>
        <xdr:cNvSpPr/>
      </xdr:nvSpPr>
      <xdr:spPr>
        <a:xfrm>
          <a:off x="4277360" y="2372360"/>
          <a:ext cx="1389380" cy="238760"/>
        </a:xfrm>
        <a:prstGeom prst="roundRect">
          <a:avLst/>
        </a:prstGeom>
        <a:solidFill>
          <a:srgbClr val="7030A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Axel / Alan</a:t>
          </a:r>
        </a:p>
      </xdr:txBody>
    </xdr:sp>
    <xdr:clientData/>
  </xdr:twoCellAnchor>
  <xdr:twoCellAnchor>
    <xdr:from>
      <xdr:col>14</xdr:col>
      <xdr:colOff>50800</xdr:colOff>
      <xdr:row>7</xdr:row>
      <xdr:rowOff>213360</xdr:rowOff>
    </xdr:from>
    <xdr:to>
      <xdr:col>19</xdr:col>
      <xdr:colOff>180340</xdr:colOff>
      <xdr:row>7</xdr:row>
      <xdr:rowOff>251460</xdr:rowOff>
    </xdr:to>
    <xdr:sp macro="Fiche" textlink="">
      <xdr:nvSpPr>
        <xdr:cNvPr id="56" name="__Ajout au panier">
          <a:extLst>
            <a:ext uri="{FF2B5EF4-FFF2-40B4-BE49-F238E27FC236}">
              <a16:creationId xmlns:a16="http://schemas.microsoft.com/office/drawing/2014/main" id="{4CDB6ACC-43D0-428E-A281-981B8C309647}"/>
            </a:ext>
          </a:extLst>
        </xdr:cNvPr>
        <xdr:cNvSpPr/>
      </xdr:nvSpPr>
      <xdr:spPr>
        <a:xfrm>
          <a:off x="4302760" y="2560320"/>
          <a:ext cx="11582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25400</xdr:colOff>
      <xdr:row>8</xdr:row>
      <xdr:rowOff>25400</xdr:rowOff>
    </xdr:from>
    <xdr:to>
      <xdr:col>21</xdr:col>
      <xdr:colOff>180340</xdr:colOff>
      <xdr:row>8</xdr:row>
      <xdr:rowOff>264160</xdr:rowOff>
    </xdr:to>
    <xdr:sp macro="Fiche" textlink="">
      <xdr:nvSpPr>
        <xdr:cNvPr id="57" name="_9|6|44181|44184">
          <a:extLst>
            <a:ext uri="{FF2B5EF4-FFF2-40B4-BE49-F238E27FC236}">
              <a16:creationId xmlns:a16="http://schemas.microsoft.com/office/drawing/2014/main" id="{3C282313-E7F3-4DCB-90E3-3E561100862F}"/>
            </a:ext>
          </a:extLst>
        </xdr:cNvPr>
        <xdr:cNvSpPr/>
      </xdr:nvSpPr>
      <xdr:spPr>
        <a:xfrm>
          <a:off x="5100320" y="2661920"/>
          <a:ext cx="77216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6 Axel</a:t>
          </a:r>
        </a:p>
      </xdr:txBody>
    </xdr:sp>
    <xdr:clientData/>
  </xdr:twoCellAnchor>
  <xdr:twoCellAnchor>
    <xdr:from>
      <xdr:col>18</xdr:col>
      <xdr:colOff>50800</xdr:colOff>
      <xdr:row>8</xdr:row>
      <xdr:rowOff>213360</xdr:rowOff>
    </xdr:from>
    <xdr:to>
      <xdr:col>20</xdr:col>
      <xdr:colOff>180340</xdr:colOff>
      <xdr:row>8</xdr:row>
      <xdr:rowOff>251460</xdr:rowOff>
    </xdr:to>
    <xdr:sp macro="Fiche" textlink="">
      <xdr:nvSpPr>
        <xdr:cNvPr id="58" name="__Sauvegarde panier dans une variable de session">
          <a:extLst>
            <a:ext uri="{FF2B5EF4-FFF2-40B4-BE49-F238E27FC236}">
              <a16:creationId xmlns:a16="http://schemas.microsoft.com/office/drawing/2014/main" id="{04B873D7-B084-4EEE-8F3F-AF83DFBB0DB0}"/>
            </a:ext>
          </a:extLst>
        </xdr:cNvPr>
        <xdr:cNvSpPr/>
      </xdr:nvSpPr>
      <xdr:spPr>
        <a:xfrm>
          <a:off x="5125720" y="2849880"/>
          <a:ext cx="54102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25400</xdr:colOff>
      <xdr:row>9</xdr:row>
      <xdr:rowOff>25400</xdr:rowOff>
    </xdr:from>
    <xdr:to>
      <xdr:col>20</xdr:col>
      <xdr:colOff>180340</xdr:colOff>
      <xdr:row>9</xdr:row>
      <xdr:rowOff>264160</xdr:rowOff>
    </xdr:to>
    <xdr:sp macro="Fiche" textlink="">
      <xdr:nvSpPr>
        <xdr:cNvPr id="59" name="_10|8|44182|44183">
          <a:extLst>
            <a:ext uri="{FF2B5EF4-FFF2-40B4-BE49-F238E27FC236}">
              <a16:creationId xmlns:a16="http://schemas.microsoft.com/office/drawing/2014/main" id="{5C5BBC6C-A87C-4DAD-BBD7-B9950D9DB8AB}"/>
            </a:ext>
          </a:extLst>
        </xdr:cNvPr>
        <xdr:cNvSpPr/>
      </xdr:nvSpPr>
      <xdr:spPr>
        <a:xfrm>
          <a:off x="5306060" y="2951480"/>
          <a:ext cx="36068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8 Axel / Alan</a:t>
          </a:r>
        </a:p>
      </xdr:txBody>
    </xdr:sp>
    <xdr:clientData/>
  </xdr:twoCellAnchor>
  <xdr:twoCellAnchor>
    <xdr:from>
      <xdr:col>19</xdr:col>
      <xdr:colOff>50800</xdr:colOff>
      <xdr:row>9</xdr:row>
      <xdr:rowOff>213360</xdr:rowOff>
    </xdr:from>
    <xdr:to>
      <xdr:col>20</xdr:col>
      <xdr:colOff>180340</xdr:colOff>
      <xdr:row>9</xdr:row>
      <xdr:rowOff>251460</xdr:rowOff>
    </xdr:to>
    <xdr:sp macro="Fiche" textlink="">
      <xdr:nvSpPr>
        <xdr:cNvPr id="60" name="__MCD - MLD">
          <a:extLst>
            <a:ext uri="{FF2B5EF4-FFF2-40B4-BE49-F238E27FC236}">
              <a16:creationId xmlns:a16="http://schemas.microsoft.com/office/drawing/2014/main" id="{3076F326-F96A-45CE-8D7F-F8166C59B729}"/>
            </a:ext>
          </a:extLst>
        </xdr:cNvPr>
        <xdr:cNvSpPr/>
      </xdr:nvSpPr>
      <xdr:spPr>
        <a:xfrm>
          <a:off x="5331460" y="3139440"/>
          <a:ext cx="33528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25400</xdr:colOff>
      <xdr:row>10</xdr:row>
      <xdr:rowOff>25400</xdr:rowOff>
    </xdr:from>
    <xdr:to>
      <xdr:col>53</xdr:col>
      <xdr:colOff>180341</xdr:colOff>
      <xdr:row>10</xdr:row>
      <xdr:rowOff>264160</xdr:rowOff>
    </xdr:to>
    <xdr:sp macro="Fiche" textlink="">
      <xdr:nvSpPr>
        <xdr:cNvPr id="61" name="_11|7|44186|44216">
          <a:extLst>
            <a:ext uri="{FF2B5EF4-FFF2-40B4-BE49-F238E27FC236}">
              <a16:creationId xmlns:a16="http://schemas.microsoft.com/office/drawing/2014/main" id="{6C20A5D8-4216-49E8-B19F-6E5CACD9AAEA}"/>
            </a:ext>
          </a:extLst>
        </xdr:cNvPr>
        <xdr:cNvSpPr/>
      </xdr:nvSpPr>
      <xdr:spPr>
        <a:xfrm>
          <a:off x="6129020" y="3241040"/>
          <a:ext cx="6327141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7 Axel</a:t>
          </a:r>
        </a:p>
      </xdr:txBody>
    </xdr:sp>
    <xdr:clientData/>
  </xdr:twoCellAnchor>
  <xdr:twoCellAnchor>
    <xdr:from>
      <xdr:col>23</xdr:col>
      <xdr:colOff>50800</xdr:colOff>
      <xdr:row>10</xdr:row>
      <xdr:rowOff>213360</xdr:rowOff>
    </xdr:from>
    <xdr:to>
      <xdr:col>25</xdr:col>
      <xdr:colOff>180340</xdr:colOff>
      <xdr:row>10</xdr:row>
      <xdr:rowOff>251460</xdr:rowOff>
    </xdr:to>
    <xdr:sp macro="Fiche" textlink="">
      <xdr:nvSpPr>
        <xdr:cNvPr id="62" name="__Mise a jour du panier">
          <a:extLst>
            <a:ext uri="{FF2B5EF4-FFF2-40B4-BE49-F238E27FC236}">
              <a16:creationId xmlns:a16="http://schemas.microsoft.com/office/drawing/2014/main" id="{D260E050-01E1-4B49-B773-9861D5639057}"/>
            </a:ext>
          </a:extLst>
        </xdr:cNvPr>
        <xdr:cNvSpPr/>
      </xdr:nvSpPr>
      <xdr:spPr>
        <a:xfrm>
          <a:off x="6154420" y="3429000"/>
          <a:ext cx="54102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58</xdr:col>
      <xdr:colOff>25400</xdr:colOff>
      <xdr:row>11</xdr:row>
      <xdr:rowOff>25400</xdr:rowOff>
    </xdr:from>
    <xdr:to>
      <xdr:col>60</xdr:col>
      <xdr:colOff>180339</xdr:colOff>
      <xdr:row>11</xdr:row>
      <xdr:rowOff>264160</xdr:rowOff>
    </xdr:to>
    <xdr:sp macro="Fiche" textlink="">
      <xdr:nvSpPr>
        <xdr:cNvPr id="63" name="_12|10|44221|44223">
          <a:extLst>
            <a:ext uri="{FF2B5EF4-FFF2-40B4-BE49-F238E27FC236}">
              <a16:creationId xmlns:a16="http://schemas.microsoft.com/office/drawing/2014/main" id="{780F80EE-725B-40CE-AF84-85D15CD7EB7C}"/>
            </a:ext>
          </a:extLst>
        </xdr:cNvPr>
        <xdr:cNvSpPr/>
      </xdr:nvSpPr>
      <xdr:spPr>
        <a:xfrm>
          <a:off x="13329920" y="3530600"/>
          <a:ext cx="566419" cy="238760"/>
        </a:xfrm>
        <a:prstGeom prst="roundRect">
          <a:avLst/>
        </a:prstGeom>
        <a:solidFill>
          <a:srgbClr val="FF0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10 Axel</a:t>
          </a:r>
        </a:p>
      </xdr:txBody>
    </xdr:sp>
    <xdr:clientData/>
  </xdr:twoCellAnchor>
  <xdr:twoCellAnchor>
    <xdr:from>
      <xdr:col>58</xdr:col>
      <xdr:colOff>50800</xdr:colOff>
      <xdr:row>11</xdr:row>
      <xdr:rowOff>213360</xdr:rowOff>
    </xdr:from>
    <xdr:to>
      <xdr:col>59</xdr:col>
      <xdr:colOff>180340</xdr:colOff>
      <xdr:row>11</xdr:row>
      <xdr:rowOff>251460</xdr:rowOff>
    </xdr:to>
    <xdr:sp macro="Fiche" textlink="">
      <xdr:nvSpPr>
        <xdr:cNvPr id="4160" name="__Ajout Model Cart">
          <a:extLst>
            <a:ext uri="{FF2B5EF4-FFF2-40B4-BE49-F238E27FC236}">
              <a16:creationId xmlns:a16="http://schemas.microsoft.com/office/drawing/2014/main" id="{9E93E5D4-52EE-4D41-8DFD-1C20DF8A7247}"/>
            </a:ext>
          </a:extLst>
        </xdr:cNvPr>
        <xdr:cNvSpPr/>
      </xdr:nvSpPr>
      <xdr:spPr>
        <a:xfrm>
          <a:off x="13355320" y="3718560"/>
          <a:ext cx="33528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58</xdr:col>
      <xdr:colOff>25400</xdr:colOff>
      <xdr:row>12</xdr:row>
      <xdr:rowOff>25400</xdr:rowOff>
    </xdr:from>
    <xdr:to>
      <xdr:col>61</xdr:col>
      <xdr:colOff>180340</xdr:colOff>
      <xdr:row>12</xdr:row>
      <xdr:rowOff>264160</xdr:rowOff>
    </xdr:to>
    <xdr:sp macro="Fiche" textlink="">
      <xdr:nvSpPr>
        <xdr:cNvPr id="4161" name="_13|9|44221|44224">
          <a:extLst>
            <a:ext uri="{FF2B5EF4-FFF2-40B4-BE49-F238E27FC236}">
              <a16:creationId xmlns:a16="http://schemas.microsoft.com/office/drawing/2014/main" id="{5A203CA0-AC70-4D86-9B61-C70E0E53D468}"/>
            </a:ext>
          </a:extLst>
        </xdr:cNvPr>
        <xdr:cNvSpPr/>
      </xdr:nvSpPr>
      <xdr:spPr>
        <a:xfrm>
          <a:off x="13329920" y="3820160"/>
          <a:ext cx="772160" cy="238760"/>
        </a:xfrm>
        <a:prstGeom prst="roundRect">
          <a:avLst/>
        </a:prstGeom>
        <a:solidFill>
          <a:srgbClr val="7030A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9 Axel</a:t>
          </a:r>
        </a:p>
      </xdr:txBody>
    </xdr:sp>
    <xdr:clientData/>
  </xdr:twoCellAnchor>
  <xdr:twoCellAnchor>
    <xdr:from>
      <xdr:col>58</xdr:col>
      <xdr:colOff>50800</xdr:colOff>
      <xdr:row>12</xdr:row>
      <xdr:rowOff>213360</xdr:rowOff>
    </xdr:from>
    <xdr:to>
      <xdr:col>60</xdr:col>
      <xdr:colOff>180339</xdr:colOff>
      <xdr:row>12</xdr:row>
      <xdr:rowOff>251460</xdr:rowOff>
    </xdr:to>
    <xdr:sp macro="Fiche" textlink="">
      <xdr:nvSpPr>
        <xdr:cNvPr id="4162" name="__Ajout CartController">
          <a:extLst>
            <a:ext uri="{FF2B5EF4-FFF2-40B4-BE49-F238E27FC236}">
              <a16:creationId xmlns:a16="http://schemas.microsoft.com/office/drawing/2014/main" id="{6F482752-90E8-4A93-91D5-8E71429E6171}"/>
            </a:ext>
          </a:extLst>
        </xdr:cNvPr>
        <xdr:cNvSpPr/>
      </xdr:nvSpPr>
      <xdr:spPr>
        <a:xfrm>
          <a:off x="13355320" y="4008120"/>
          <a:ext cx="541019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61</xdr:col>
      <xdr:colOff>25399</xdr:colOff>
      <xdr:row>13</xdr:row>
      <xdr:rowOff>25400</xdr:rowOff>
    </xdr:from>
    <xdr:to>
      <xdr:col>64</xdr:col>
      <xdr:colOff>180340</xdr:colOff>
      <xdr:row>13</xdr:row>
      <xdr:rowOff>264160</xdr:rowOff>
    </xdr:to>
    <xdr:sp macro="Fiche" textlink="">
      <xdr:nvSpPr>
        <xdr:cNvPr id="4163" name="_14|12|44224|44227">
          <a:extLst>
            <a:ext uri="{FF2B5EF4-FFF2-40B4-BE49-F238E27FC236}">
              <a16:creationId xmlns:a16="http://schemas.microsoft.com/office/drawing/2014/main" id="{525473AE-1487-4116-B00D-0F900E907D89}"/>
            </a:ext>
          </a:extLst>
        </xdr:cNvPr>
        <xdr:cNvSpPr/>
      </xdr:nvSpPr>
      <xdr:spPr>
        <a:xfrm>
          <a:off x="13947139" y="4109720"/>
          <a:ext cx="772161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12 Axel</a:t>
          </a:r>
        </a:p>
      </xdr:txBody>
    </xdr:sp>
    <xdr:clientData/>
  </xdr:twoCellAnchor>
  <xdr:twoCellAnchor>
    <xdr:from>
      <xdr:col>61</xdr:col>
      <xdr:colOff>50799</xdr:colOff>
      <xdr:row>13</xdr:row>
      <xdr:rowOff>213360</xdr:rowOff>
    </xdr:from>
    <xdr:to>
      <xdr:col>61</xdr:col>
      <xdr:colOff>180339</xdr:colOff>
      <xdr:row>13</xdr:row>
      <xdr:rowOff>251460</xdr:rowOff>
    </xdr:to>
    <xdr:sp macro="Fiche" textlink="">
      <xdr:nvSpPr>
        <xdr:cNvPr id="4164" name="__Ajout Model Products">
          <a:extLst>
            <a:ext uri="{FF2B5EF4-FFF2-40B4-BE49-F238E27FC236}">
              <a16:creationId xmlns:a16="http://schemas.microsoft.com/office/drawing/2014/main" id="{78AD2444-E40D-4E69-8175-D83A1ED8A55E}"/>
            </a:ext>
          </a:extLst>
        </xdr:cNvPr>
        <xdr:cNvSpPr/>
      </xdr:nvSpPr>
      <xdr:spPr>
        <a:xfrm>
          <a:off x="13972539" y="429768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61</xdr:col>
      <xdr:colOff>25399</xdr:colOff>
      <xdr:row>14</xdr:row>
      <xdr:rowOff>25400</xdr:rowOff>
    </xdr:from>
    <xdr:to>
      <xdr:col>64</xdr:col>
      <xdr:colOff>180340</xdr:colOff>
      <xdr:row>14</xdr:row>
      <xdr:rowOff>264160</xdr:rowOff>
    </xdr:to>
    <xdr:sp macro="Fiche" textlink="">
      <xdr:nvSpPr>
        <xdr:cNvPr id="4165" name="_15|13|44224|44227">
          <a:extLst>
            <a:ext uri="{FF2B5EF4-FFF2-40B4-BE49-F238E27FC236}">
              <a16:creationId xmlns:a16="http://schemas.microsoft.com/office/drawing/2014/main" id="{C1B1A394-41F2-4E5B-AE0A-ECB22148381E}"/>
            </a:ext>
          </a:extLst>
        </xdr:cNvPr>
        <xdr:cNvSpPr/>
      </xdr:nvSpPr>
      <xdr:spPr>
        <a:xfrm>
          <a:off x="13947139" y="4399280"/>
          <a:ext cx="772161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13 Axel</a:t>
          </a:r>
        </a:p>
      </xdr:txBody>
    </xdr:sp>
    <xdr:clientData/>
  </xdr:twoCellAnchor>
  <xdr:twoCellAnchor>
    <xdr:from>
      <xdr:col>61</xdr:col>
      <xdr:colOff>50799</xdr:colOff>
      <xdr:row>14</xdr:row>
      <xdr:rowOff>213360</xdr:rowOff>
    </xdr:from>
    <xdr:to>
      <xdr:col>61</xdr:col>
      <xdr:colOff>180339</xdr:colOff>
      <xdr:row>14</xdr:row>
      <xdr:rowOff>251460</xdr:rowOff>
    </xdr:to>
    <xdr:sp macro="Fiche" textlink="">
      <xdr:nvSpPr>
        <xdr:cNvPr id="4166" name="__Ajout ServiceController">
          <a:extLst>
            <a:ext uri="{FF2B5EF4-FFF2-40B4-BE49-F238E27FC236}">
              <a16:creationId xmlns:a16="http://schemas.microsoft.com/office/drawing/2014/main" id="{3E1D478F-1EC9-4FF8-A623-94F5BBA72252}"/>
            </a:ext>
          </a:extLst>
        </xdr:cNvPr>
        <xdr:cNvSpPr/>
      </xdr:nvSpPr>
      <xdr:spPr>
        <a:xfrm>
          <a:off x="13972539" y="458724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61</xdr:col>
      <xdr:colOff>25399</xdr:colOff>
      <xdr:row>15</xdr:row>
      <xdr:rowOff>25400</xdr:rowOff>
    </xdr:from>
    <xdr:to>
      <xdr:col>64</xdr:col>
      <xdr:colOff>180340</xdr:colOff>
      <xdr:row>15</xdr:row>
      <xdr:rowOff>264160</xdr:rowOff>
    </xdr:to>
    <xdr:sp macro="Fiche" textlink="">
      <xdr:nvSpPr>
        <xdr:cNvPr id="4167" name="_16|14|44224|44227">
          <a:extLst>
            <a:ext uri="{FF2B5EF4-FFF2-40B4-BE49-F238E27FC236}">
              <a16:creationId xmlns:a16="http://schemas.microsoft.com/office/drawing/2014/main" id="{6F743294-2BBD-43A0-86D6-1902A66A89F6}"/>
            </a:ext>
          </a:extLst>
        </xdr:cNvPr>
        <xdr:cNvSpPr/>
      </xdr:nvSpPr>
      <xdr:spPr>
        <a:xfrm>
          <a:off x="13947139" y="4688840"/>
          <a:ext cx="772161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14 Axel</a:t>
          </a:r>
        </a:p>
      </xdr:txBody>
    </xdr:sp>
    <xdr:clientData/>
  </xdr:twoCellAnchor>
  <xdr:twoCellAnchor>
    <xdr:from>
      <xdr:col>61</xdr:col>
      <xdr:colOff>50799</xdr:colOff>
      <xdr:row>15</xdr:row>
      <xdr:rowOff>213360</xdr:rowOff>
    </xdr:from>
    <xdr:to>
      <xdr:col>61</xdr:col>
      <xdr:colOff>180339</xdr:colOff>
      <xdr:row>15</xdr:row>
      <xdr:rowOff>251460</xdr:rowOff>
    </xdr:to>
    <xdr:sp macro="Fiche" textlink="">
      <xdr:nvSpPr>
        <xdr:cNvPr id="4168" name="__Ajout Model Service">
          <a:extLst>
            <a:ext uri="{FF2B5EF4-FFF2-40B4-BE49-F238E27FC236}">
              <a16:creationId xmlns:a16="http://schemas.microsoft.com/office/drawing/2014/main" id="{BB2B6877-B049-43AB-8684-130FCCD3C726}"/>
            </a:ext>
          </a:extLst>
        </xdr:cNvPr>
        <xdr:cNvSpPr/>
      </xdr:nvSpPr>
      <xdr:spPr>
        <a:xfrm>
          <a:off x="13972539" y="487680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61</xdr:col>
      <xdr:colOff>25399</xdr:colOff>
      <xdr:row>16</xdr:row>
      <xdr:rowOff>25400</xdr:rowOff>
    </xdr:from>
    <xdr:to>
      <xdr:col>64</xdr:col>
      <xdr:colOff>180340</xdr:colOff>
      <xdr:row>16</xdr:row>
      <xdr:rowOff>264160</xdr:rowOff>
    </xdr:to>
    <xdr:sp macro="Fiche" textlink="">
      <xdr:nvSpPr>
        <xdr:cNvPr id="4169" name="_17|11|44224|44227">
          <a:extLst>
            <a:ext uri="{FF2B5EF4-FFF2-40B4-BE49-F238E27FC236}">
              <a16:creationId xmlns:a16="http://schemas.microsoft.com/office/drawing/2014/main" id="{265FCAAA-A00B-47CA-B513-2E229DDAFCFA}"/>
            </a:ext>
          </a:extLst>
        </xdr:cNvPr>
        <xdr:cNvSpPr/>
      </xdr:nvSpPr>
      <xdr:spPr>
        <a:xfrm>
          <a:off x="13947139" y="4978400"/>
          <a:ext cx="772161" cy="238760"/>
        </a:xfrm>
        <a:prstGeom prst="roundRect">
          <a:avLst/>
        </a:prstGeom>
        <a:solidFill>
          <a:srgbClr val="FF0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11 Axel</a:t>
          </a:r>
        </a:p>
      </xdr:txBody>
    </xdr:sp>
    <xdr:clientData/>
  </xdr:twoCellAnchor>
  <xdr:twoCellAnchor>
    <xdr:from>
      <xdr:col>61</xdr:col>
      <xdr:colOff>50799</xdr:colOff>
      <xdr:row>16</xdr:row>
      <xdr:rowOff>213360</xdr:rowOff>
    </xdr:from>
    <xdr:to>
      <xdr:col>61</xdr:col>
      <xdr:colOff>180339</xdr:colOff>
      <xdr:row>16</xdr:row>
      <xdr:rowOff>251460</xdr:rowOff>
    </xdr:to>
    <xdr:sp macro="Fiche" textlink="">
      <xdr:nvSpPr>
        <xdr:cNvPr id="4170" name="__Ajout ProductController">
          <a:extLst>
            <a:ext uri="{FF2B5EF4-FFF2-40B4-BE49-F238E27FC236}">
              <a16:creationId xmlns:a16="http://schemas.microsoft.com/office/drawing/2014/main" id="{FBD457E1-C177-471E-BD34-5B17C1862369}"/>
            </a:ext>
          </a:extLst>
        </xdr:cNvPr>
        <xdr:cNvSpPr/>
      </xdr:nvSpPr>
      <xdr:spPr>
        <a:xfrm>
          <a:off x="13972539" y="516636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zoomScale="146" zoomScaleNormal="146" workbookViewId="0">
      <selection activeCell="D10" sqref="D10:G13"/>
    </sheetView>
  </sheetViews>
  <sheetFormatPr baseColWidth="10" defaultRowHeight="14.4" x14ac:dyDescent="0.3"/>
  <cols>
    <col min="1" max="1" width="6.5546875" customWidth="1"/>
    <col min="2" max="2" width="40.5546875" style="10" bestFit="1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15</v>
      </c>
      <c r="C2" s="37" t="s">
        <v>10</v>
      </c>
      <c r="D2" s="38">
        <v>44174</v>
      </c>
      <c r="E2" s="35">
        <v>3</v>
      </c>
      <c r="F2" s="39">
        <f t="shared" ref="F2:F4" si="0">WORKDAY(D2,E2-1,tferies(YEAR(D2)))</f>
        <v>44176</v>
      </c>
      <c r="G2" s="40">
        <v>0.9</v>
      </c>
      <c r="H2" s="47">
        <f t="shared" ref="H2:H8" si="1">IF(G2&gt;0,WORKDAY(D2,(E2*G2)-1,tferies(YEAR(D2))),"")</f>
        <v>44175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14</v>
      </c>
      <c r="C3" s="37" t="s">
        <v>10</v>
      </c>
      <c r="D3" s="38">
        <v>44174</v>
      </c>
      <c r="E3" s="35">
        <v>3</v>
      </c>
      <c r="F3" s="39">
        <f t="shared" si="0"/>
        <v>44176</v>
      </c>
      <c r="G3" s="40">
        <v>0.9</v>
      </c>
      <c r="H3" s="47">
        <f t="shared" si="1"/>
        <v>44175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13</v>
      </c>
      <c r="C4" s="37" t="s">
        <v>10</v>
      </c>
      <c r="D4" s="38">
        <v>44176</v>
      </c>
      <c r="E4" s="35">
        <v>4</v>
      </c>
      <c r="F4" s="39">
        <f t="shared" si="0"/>
        <v>44181</v>
      </c>
      <c r="G4" s="40">
        <v>0.8</v>
      </c>
      <c r="H4" s="47">
        <f t="shared" si="1"/>
        <v>44180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12</v>
      </c>
      <c r="C5" s="37" t="s">
        <v>10</v>
      </c>
      <c r="D5" s="38">
        <v>44177</v>
      </c>
      <c r="E5" s="35">
        <v>6</v>
      </c>
      <c r="F5" s="39">
        <f>WORKDAY(D5,E5-1,tferies(YEAR(D5)))</f>
        <v>44183</v>
      </c>
      <c r="G5" s="40">
        <v>0.9</v>
      </c>
      <c r="H5" s="47">
        <f t="shared" si="1"/>
        <v>44182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11</v>
      </c>
      <c r="C6" s="37" t="s">
        <v>10</v>
      </c>
      <c r="D6" s="38">
        <v>44177</v>
      </c>
      <c r="E6" s="35">
        <v>6</v>
      </c>
      <c r="F6" s="39">
        <f>WORKDAY(D6,E6-1,tferies(YEAR(D6)))</f>
        <v>44183</v>
      </c>
      <c r="G6" s="40">
        <v>0.8</v>
      </c>
      <c r="H6" s="47">
        <f>IF(G6&gt;0,WORKDAY(D6,(E6*G6)-1,tferies(YEAR(D6))),"")</f>
        <v>44181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16</v>
      </c>
      <c r="C7" s="37" t="s">
        <v>17</v>
      </c>
      <c r="D7" s="38">
        <v>44181</v>
      </c>
      <c r="E7" s="35">
        <v>3</v>
      </c>
      <c r="F7" s="39">
        <v>44184</v>
      </c>
      <c r="G7" s="40">
        <v>1</v>
      </c>
      <c r="H7" s="47">
        <f t="shared" si="1"/>
        <v>44183</v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 t="s">
        <v>18</v>
      </c>
      <c r="C8" s="37" t="s">
        <v>17</v>
      </c>
      <c r="D8" s="38">
        <v>44186</v>
      </c>
      <c r="E8" s="35">
        <v>3</v>
      </c>
      <c r="F8" s="39">
        <v>44216</v>
      </c>
      <c r="G8" s="40">
        <v>1</v>
      </c>
      <c r="H8" s="47">
        <f t="shared" si="1"/>
        <v>44188</v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41" t="s">
        <v>19</v>
      </c>
      <c r="C9" s="41" t="s">
        <v>10</v>
      </c>
      <c r="D9" s="38">
        <v>44182</v>
      </c>
      <c r="E9" s="35">
        <v>2</v>
      </c>
      <c r="F9" s="39">
        <v>44183</v>
      </c>
      <c r="G9" s="55">
        <v>1</v>
      </c>
      <c r="H9" s="47">
        <f t="shared" ref="H9" si="2">IF(G9&gt;0,WORKDAY(D9,(E9*G9)-1,tferies(YEAR(D9))),"")</f>
        <v>44183</v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B10" s="36" t="s">
        <v>20</v>
      </c>
      <c r="C10" s="37" t="s">
        <v>17</v>
      </c>
      <c r="D10" s="38">
        <v>44221</v>
      </c>
      <c r="E10" s="35">
        <v>3</v>
      </c>
      <c r="F10" s="39">
        <v>44224</v>
      </c>
      <c r="G10" s="40">
        <v>1</v>
      </c>
      <c r="H10" s="47">
        <f t="shared" ref="H10:H15" si="3">IF(G10&gt;0,WORKDAY(D10,(E10*G10)-1,tferies(YEAR(D10))),"")</f>
        <v>44223</v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 t="s">
        <v>23</v>
      </c>
      <c r="C11" s="41" t="s">
        <v>17</v>
      </c>
      <c r="D11" s="39">
        <v>44221</v>
      </c>
      <c r="E11" s="35">
        <v>2</v>
      </c>
      <c r="F11" s="39">
        <v>44223</v>
      </c>
      <c r="G11" s="56">
        <v>1</v>
      </c>
      <c r="H11" s="47">
        <f>IF(G11&gt;0,WORKDAY(D11,(E11*G11)-1,tferies(YEAR(D11))),"")</f>
        <v>44222</v>
      </c>
      <c r="AB11" s="18"/>
      <c r="AC11" s="18"/>
      <c r="AD11" s="18"/>
      <c r="AE11" s="18"/>
      <c r="AF11" s="18"/>
    </row>
    <row r="12" spans="1:34" x14ac:dyDescent="0.3">
      <c r="A12" s="46">
        <f t="shared" ref="A12:A72" si="4">A11+1</f>
        <v>11</v>
      </c>
      <c r="B12" s="42" t="s">
        <v>24</v>
      </c>
      <c r="C12" s="41" t="s">
        <v>17</v>
      </c>
      <c r="D12" s="39">
        <v>44224</v>
      </c>
      <c r="E12" s="35">
        <v>2</v>
      </c>
      <c r="F12" s="39">
        <v>44227</v>
      </c>
      <c r="G12" s="56">
        <v>0.5</v>
      </c>
      <c r="H12" s="47">
        <f t="shared" ref="H12:H15" si="5">IF(G12&gt;0,WORKDAY(D12,(E12*G12)-1,tferies(YEAR(D12))),"")</f>
        <v>44224</v>
      </c>
      <c r="AB12" s="18"/>
      <c r="AC12" s="18"/>
      <c r="AD12" s="18"/>
      <c r="AE12" s="18"/>
      <c r="AF12" s="18"/>
    </row>
    <row r="13" spans="1:34" x14ac:dyDescent="0.3">
      <c r="A13" s="46">
        <f t="shared" si="4"/>
        <v>12</v>
      </c>
      <c r="B13" s="42" t="s">
        <v>25</v>
      </c>
      <c r="C13" s="41" t="s">
        <v>17</v>
      </c>
      <c r="D13" s="39">
        <v>44224</v>
      </c>
      <c r="E13" s="35">
        <v>2</v>
      </c>
      <c r="F13" s="39">
        <v>44227</v>
      </c>
      <c r="G13" s="56">
        <v>0.5</v>
      </c>
      <c r="H13" s="47">
        <f t="shared" si="5"/>
        <v>44224</v>
      </c>
      <c r="AB13" s="18"/>
      <c r="AC13" s="18"/>
      <c r="AD13" s="18"/>
      <c r="AE13" s="18"/>
      <c r="AF13" s="18"/>
    </row>
    <row r="14" spans="1:34" x14ac:dyDescent="0.3">
      <c r="A14" s="46">
        <f t="shared" si="4"/>
        <v>13</v>
      </c>
      <c r="B14" s="42" t="s">
        <v>26</v>
      </c>
      <c r="C14" s="41" t="s">
        <v>17</v>
      </c>
      <c r="D14" s="39">
        <v>44224</v>
      </c>
      <c r="E14" s="35">
        <v>2</v>
      </c>
      <c r="F14" s="39">
        <v>44227</v>
      </c>
      <c r="G14" s="56">
        <v>0.5</v>
      </c>
      <c r="H14" s="47">
        <f t="shared" si="5"/>
        <v>44224</v>
      </c>
      <c r="AB14" s="18"/>
      <c r="AC14" s="18"/>
      <c r="AD14" s="18"/>
      <c r="AE14" s="18"/>
      <c r="AF14" s="18"/>
    </row>
    <row r="15" spans="1:34" x14ac:dyDescent="0.3">
      <c r="A15" s="46">
        <f t="shared" si="4"/>
        <v>14</v>
      </c>
      <c r="B15" s="42" t="s">
        <v>27</v>
      </c>
      <c r="C15" s="41" t="s">
        <v>17</v>
      </c>
      <c r="D15" s="39">
        <v>44224</v>
      </c>
      <c r="E15" s="35">
        <v>2</v>
      </c>
      <c r="F15" s="39">
        <v>44227</v>
      </c>
      <c r="G15" s="56">
        <v>0.5</v>
      </c>
      <c r="H15" s="47">
        <f t="shared" si="5"/>
        <v>44224</v>
      </c>
    </row>
    <row r="16" spans="1:34" x14ac:dyDescent="0.3">
      <c r="A16" s="46">
        <f t="shared" si="4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4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4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4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4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4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4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4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4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4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4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4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4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4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4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4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4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4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4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4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4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4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4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4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4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4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4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4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4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4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4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4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4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4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4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4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4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4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4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4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4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4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4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4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4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4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4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4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4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4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4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4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4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4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4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4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4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9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96" ht="42.6" customHeight="1" x14ac:dyDescent="0.3">
      <c r="A1" s="30">
        <v>3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96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21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22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</row>
    <row r="3" spans="1:96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32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</row>
    <row r="4" spans="1:96" s="1" customFormat="1" ht="22.95" customHeight="1" x14ac:dyDescent="0.3">
      <c r="A4" s="4"/>
      <c r="B4" s="15" t="s">
        <v>14</v>
      </c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33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</row>
    <row r="5" spans="1:96" ht="22.95" customHeight="1" x14ac:dyDescent="0.3">
      <c r="A5" s="5"/>
      <c r="B5" s="15" t="s">
        <v>15</v>
      </c>
      <c r="C5" s="16"/>
      <c r="D5" s="3"/>
      <c r="E5" s="3"/>
      <c r="F5" s="3"/>
      <c r="G5" s="3"/>
      <c r="H5" s="27"/>
      <c r="I5" s="27"/>
      <c r="J5" s="3"/>
      <c r="K5" s="3"/>
      <c r="L5" s="3"/>
      <c r="M5" s="3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34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</row>
    <row r="6" spans="1:96" ht="22.95" customHeight="1" x14ac:dyDescent="0.3">
      <c r="A6" s="6"/>
      <c r="B6" s="15" t="s">
        <v>13</v>
      </c>
      <c r="C6" s="16"/>
      <c r="D6" s="3"/>
      <c r="E6" s="3"/>
      <c r="F6" s="3"/>
      <c r="G6" s="3"/>
      <c r="H6" s="27"/>
      <c r="I6" s="27"/>
      <c r="J6" s="3"/>
      <c r="K6" s="3"/>
      <c r="L6" s="3"/>
      <c r="M6" s="3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34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</row>
    <row r="7" spans="1:96" ht="22.95" customHeight="1" x14ac:dyDescent="0.3">
      <c r="A7" s="4"/>
      <c r="B7" s="15" t="s">
        <v>11</v>
      </c>
      <c r="C7" s="16"/>
      <c r="D7" s="3"/>
      <c r="E7" s="3"/>
      <c r="F7" s="3"/>
      <c r="G7" s="3"/>
      <c r="H7" s="27"/>
      <c r="I7" s="27"/>
      <c r="J7" s="3"/>
      <c r="K7" s="3"/>
      <c r="L7" s="3"/>
      <c r="M7" s="3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34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</row>
    <row r="8" spans="1:96" ht="22.95" customHeight="1" x14ac:dyDescent="0.3">
      <c r="A8" s="8"/>
      <c r="B8" s="15" t="s">
        <v>12</v>
      </c>
      <c r="C8" s="16"/>
      <c r="D8" s="3"/>
      <c r="E8" s="3"/>
      <c r="F8" s="3"/>
      <c r="G8" s="3"/>
      <c r="H8" s="27"/>
      <c r="I8" s="27"/>
      <c r="J8" s="3"/>
      <c r="K8" s="3"/>
      <c r="L8" s="3"/>
      <c r="M8" s="3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34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</row>
    <row r="9" spans="1:96" ht="22.95" customHeight="1" x14ac:dyDescent="0.3">
      <c r="A9" s="4"/>
      <c r="B9" s="15" t="s">
        <v>16</v>
      </c>
      <c r="C9" s="16"/>
      <c r="D9" s="3"/>
      <c r="E9" s="3"/>
      <c r="F9" s="3"/>
      <c r="G9" s="3"/>
      <c r="H9" s="27"/>
      <c r="I9" s="27"/>
      <c r="J9" s="3"/>
      <c r="K9" s="3"/>
      <c r="L9" s="3"/>
      <c r="M9" s="3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34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</row>
    <row r="10" spans="1:96" ht="22.95" customHeight="1" x14ac:dyDescent="0.3">
      <c r="A10" s="5"/>
      <c r="B10" s="15" t="s">
        <v>19</v>
      </c>
      <c r="C10" s="16"/>
      <c r="D10" s="3"/>
      <c r="E10" s="3"/>
      <c r="F10" s="3"/>
      <c r="G10" s="3"/>
      <c r="H10" s="27"/>
      <c r="I10" s="27"/>
      <c r="J10" s="3"/>
      <c r="K10" s="3"/>
      <c r="L10" s="3"/>
      <c r="M10" s="3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34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</row>
    <row r="11" spans="1:96" ht="22.95" customHeight="1" x14ac:dyDescent="0.3">
      <c r="A11" s="6"/>
      <c r="B11" s="15" t="s">
        <v>18</v>
      </c>
      <c r="C11" s="16"/>
      <c r="D11" s="3"/>
      <c r="E11" s="3"/>
      <c r="F11" s="3"/>
      <c r="G11" s="3"/>
      <c r="H11" s="27"/>
      <c r="I11" s="27"/>
      <c r="J11" s="3"/>
      <c r="K11" s="3"/>
      <c r="L11" s="3"/>
      <c r="M11" s="3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34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</row>
    <row r="12" spans="1:96" ht="22.95" customHeight="1" x14ac:dyDescent="0.3">
      <c r="A12" s="7"/>
      <c r="B12" s="15" t="s">
        <v>23</v>
      </c>
      <c r="C12" s="16"/>
      <c r="D12" s="3"/>
      <c r="E12" s="3"/>
      <c r="F12" s="3"/>
      <c r="G12" s="3"/>
      <c r="H12" s="27"/>
      <c r="I12" s="27"/>
      <c r="J12" s="3"/>
      <c r="K12" s="3"/>
      <c r="L12" s="3"/>
      <c r="M12" s="3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34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</row>
    <row r="13" spans="1:96" ht="22.95" customHeight="1" x14ac:dyDescent="0.3">
      <c r="A13" s="8"/>
      <c r="B13" s="15" t="s">
        <v>20</v>
      </c>
      <c r="C13" s="16"/>
      <c r="D13" s="3"/>
      <c r="E13" s="3"/>
      <c r="F13" s="3"/>
      <c r="G13" s="3"/>
      <c r="H13" s="27"/>
      <c r="I13" s="27"/>
      <c r="J13" s="3"/>
      <c r="K13" s="3"/>
      <c r="L13" s="3"/>
      <c r="M13" s="3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34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</row>
    <row r="14" spans="1:96" ht="22.95" customHeight="1" x14ac:dyDescent="0.3">
      <c r="A14" s="4"/>
      <c r="B14" s="15" t="s">
        <v>25</v>
      </c>
      <c r="C14" s="16"/>
      <c r="D14" s="28" t="str">
        <f>IF(WEEKDAY(D$3)=2,_xlfn.ISOWEEKNUM(D$3),"")</f>
        <v/>
      </c>
      <c r="E14" s="28" t="str">
        <f t="shared" ref="E14:BP14" si="2">IF(WEEKDAY(E$3)=2,_xlfn.ISOWEEKNUM(E$3),"")</f>
        <v/>
      </c>
      <c r="F14" s="28" t="str">
        <f t="shared" si="2"/>
        <v/>
      </c>
      <c r="G14" s="28" t="str">
        <f t="shared" si="2"/>
        <v/>
      </c>
      <c r="H14" s="29" t="str">
        <f t="shared" si="2"/>
        <v/>
      </c>
      <c r="I14" s="29" t="str">
        <f t="shared" si="2"/>
        <v/>
      </c>
      <c r="J14" s="28">
        <f t="shared" si="2"/>
        <v>50</v>
      </c>
      <c r="K14" s="28" t="str">
        <f t="shared" si="2"/>
        <v/>
      </c>
      <c r="L14" s="28" t="str">
        <f t="shared" si="2"/>
        <v/>
      </c>
      <c r="M14" s="28" t="str">
        <f t="shared" si="2"/>
        <v/>
      </c>
      <c r="N14" s="28" t="str">
        <f t="shared" si="2"/>
        <v/>
      </c>
      <c r="O14" s="29" t="str">
        <f t="shared" si="2"/>
        <v/>
      </c>
      <c r="P14" s="29" t="str">
        <f t="shared" si="2"/>
        <v/>
      </c>
      <c r="Q14" s="28">
        <f t="shared" si="2"/>
        <v>51</v>
      </c>
      <c r="R14" s="28" t="str">
        <f t="shared" si="2"/>
        <v/>
      </c>
      <c r="S14" s="28" t="str">
        <f t="shared" si="2"/>
        <v/>
      </c>
      <c r="T14" s="28" t="str">
        <f t="shared" si="2"/>
        <v/>
      </c>
      <c r="U14" s="28" t="str">
        <f t="shared" si="2"/>
        <v/>
      </c>
      <c r="V14" s="29" t="str">
        <f t="shared" si="2"/>
        <v/>
      </c>
      <c r="W14" s="29" t="str">
        <f t="shared" si="2"/>
        <v/>
      </c>
      <c r="X14" s="28">
        <f t="shared" si="2"/>
        <v>52</v>
      </c>
      <c r="Y14" s="28" t="str">
        <f t="shared" si="2"/>
        <v/>
      </c>
      <c r="Z14" s="28" t="str">
        <f t="shared" si="2"/>
        <v/>
      </c>
      <c r="AA14" s="28" t="str">
        <f t="shared" si="2"/>
        <v/>
      </c>
      <c r="AB14" s="29" t="str">
        <f t="shared" si="2"/>
        <v/>
      </c>
      <c r="AC14" s="29" t="str">
        <f t="shared" si="2"/>
        <v/>
      </c>
      <c r="AD14" s="29" t="str">
        <f t="shared" si="2"/>
        <v/>
      </c>
      <c r="AE14" s="28">
        <f t="shared" si="2"/>
        <v>53</v>
      </c>
      <c r="AF14" s="28" t="str">
        <f t="shared" si="2"/>
        <v/>
      </c>
      <c r="AG14" s="28" t="str">
        <f t="shared" si="2"/>
        <v/>
      </c>
      <c r="AH14" s="28" t="str">
        <f t="shared" si="2"/>
        <v/>
      </c>
      <c r="AI14" s="29" t="str">
        <f>IF(WEEKDAY(AI$3)=2,_xlfn.ISOWEEKNUM(AI$3),"")</f>
        <v/>
      </c>
      <c r="AJ14" s="29" t="str">
        <f t="shared" si="2"/>
        <v/>
      </c>
      <c r="AK14" s="29" t="str">
        <f t="shared" si="2"/>
        <v/>
      </c>
      <c r="AL14" s="28">
        <f t="shared" si="2"/>
        <v>1</v>
      </c>
      <c r="AM14" s="28" t="str">
        <f t="shared" si="2"/>
        <v/>
      </c>
      <c r="AN14" s="28" t="str">
        <f t="shared" si="2"/>
        <v/>
      </c>
      <c r="AO14" s="28" t="str">
        <f t="shared" si="2"/>
        <v/>
      </c>
      <c r="AP14" s="28" t="str">
        <f t="shared" si="2"/>
        <v/>
      </c>
      <c r="AQ14" s="29" t="str">
        <f t="shared" si="2"/>
        <v/>
      </c>
      <c r="AR14" s="29" t="str">
        <f t="shared" si="2"/>
        <v/>
      </c>
      <c r="AS14" s="28">
        <f t="shared" si="2"/>
        <v>2</v>
      </c>
      <c r="AT14" s="28" t="str">
        <f t="shared" si="2"/>
        <v/>
      </c>
      <c r="AU14" s="28" t="str">
        <f t="shared" si="2"/>
        <v/>
      </c>
      <c r="AV14" s="28" t="str">
        <f t="shared" si="2"/>
        <v/>
      </c>
      <c r="AW14" s="28" t="str">
        <f t="shared" si="2"/>
        <v/>
      </c>
      <c r="AX14" s="29" t="str">
        <f t="shared" si="2"/>
        <v/>
      </c>
      <c r="AY14" s="29" t="str">
        <f t="shared" si="2"/>
        <v/>
      </c>
      <c r="AZ14" s="28">
        <f t="shared" si="2"/>
        <v>3</v>
      </c>
      <c r="BA14" s="28" t="str">
        <f t="shared" si="2"/>
        <v/>
      </c>
      <c r="BB14" s="28" t="str">
        <f t="shared" si="2"/>
        <v/>
      </c>
      <c r="BC14" s="28" t="str">
        <f t="shared" si="2"/>
        <v/>
      </c>
      <c r="BD14" s="28" t="str">
        <f t="shared" si="2"/>
        <v/>
      </c>
      <c r="BE14" s="29" t="str">
        <f t="shared" si="2"/>
        <v/>
      </c>
      <c r="BF14" s="29" t="str">
        <f t="shared" si="2"/>
        <v/>
      </c>
      <c r="BG14" s="28">
        <f t="shared" si="2"/>
        <v>4</v>
      </c>
      <c r="BH14" s="28" t="str">
        <f t="shared" si="2"/>
        <v/>
      </c>
      <c r="BI14" s="28" t="str">
        <f t="shared" si="2"/>
        <v/>
      </c>
      <c r="BJ14" s="28" t="str">
        <f t="shared" si="2"/>
        <v/>
      </c>
      <c r="BK14" s="28" t="str">
        <f t="shared" si="2"/>
        <v/>
      </c>
      <c r="BL14" s="29" t="str">
        <f t="shared" si="2"/>
        <v/>
      </c>
      <c r="BM14" s="33" t="str">
        <f t="shared" si="2"/>
        <v/>
      </c>
      <c r="BN14" s="28">
        <f>IF(WEEKDAY(BN$3)=2,_xlfn.ISOWEEKNUM(BN$3),"")</f>
        <v>5</v>
      </c>
      <c r="BO14" s="28" t="str">
        <f t="shared" si="2"/>
        <v/>
      </c>
      <c r="BP14" s="28" t="str">
        <f t="shared" si="2"/>
        <v/>
      </c>
      <c r="BQ14" s="28" t="str">
        <f t="shared" ref="BQ14:CR14" si="3">IF(WEEKDAY(BQ$3)=2,_xlfn.ISOWEEKNUM(BQ$3),"")</f>
        <v/>
      </c>
      <c r="BR14" s="28" t="str">
        <f t="shared" si="3"/>
        <v/>
      </c>
      <c r="BS14" s="29" t="str">
        <f t="shared" si="3"/>
        <v/>
      </c>
      <c r="BT14" s="29" t="str">
        <f t="shared" si="3"/>
        <v/>
      </c>
      <c r="BU14" s="28">
        <f t="shared" si="3"/>
        <v>6</v>
      </c>
      <c r="BV14" s="28" t="str">
        <f t="shared" si="3"/>
        <v/>
      </c>
      <c r="BW14" s="28" t="str">
        <f t="shared" si="3"/>
        <v/>
      </c>
      <c r="BX14" s="28" t="str">
        <f t="shared" si="3"/>
        <v/>
      </c>
      <c r="BY14" s="28" t="str">
        <f t="shared" si="3"/>
        <v/>
      </c>
      <c r="BZ14" s="29" t="str">
        <f t="shared" si="3"/>
        <v/>
      </c>
      <c r="CA14" s="29" t="str">
        <f t="shared" si="3"/>
        <v/>
      </c>
      <c r="CB14" s="28">
        <f t="shared" si="3"/>
        <v>7</v>
      </c>
      <c r="CC14" s="28" t="str">
        <f t="shared" si="3"/>
        <v/>
      </c>
      <c r="CD14" s="28" t="str">
        <f t="shared" si="3"/>
        <v/>
      </c>
      <c r="CE14" s="28" t="str">
        <f t="shared" si="3"/>
        <v/>
      </c>
      <c r="CF14" s="28" t="str">
        <f t="shared" si="3"/>
        <v/>
      </c>
      <c r="CG14" s="29" t="str">
        <f t="shared" si="3"/>
        <v/>
      </c>
      <c r="CH14" s="29" t="str">
        <f t="shared" si="3"/>
        <v/>
      </c>
      <c r="CI14" s="28">
        <f t="shared" si="3"/>
        <v>8</v>
      </c>
      <c r="CJ14" s="28" t="str">
        <f t="shared" si="3"/>
        <v/>
      </c>
      <c r="CK14" s="28" t="str">
        <f t="shared" si="3"/>
        <v/>
      </c>
      <c r="CL14" s="28" t="str">
        <f t="shared" si="3"/>
        <v/>
      </c>
      <c r="CM14" s="28" t="str">
        <f t="shared" si="3"/>
        <v/>
      </c>
      <c r="CN14" s="29" t="str">
        <f t="shared" si="3"/>
        <v/>
      </c>
      <c r="CO14" s="29" t="str">
        <f t="shared" si="3"/>
        <v/>
      </c>
      <c r="CP14" s="28" t="str">
        <f t="shared" si="3"/>
        <v/>
      </c>
      <c r="CQ14" s="28" t="str">
        <f t="shared" si="3"/>
        <v/>
      </c>
      <c r="CR14" s="28" t="str">
        <f t="shared" si="3"/>
        <v/>
      </c>
    </row>
    <row r="15" spans="1:96" ht="22.95" customHeight="1" x14ac:dyDescent="0.3">
      <c r="A15" s="5"/>
      <c r="B15" s="15" t="s">
        <v>26</v>
      </c>
      <c r="C15" s="16"/>
      <c r="D15" s="3"/>
      <c r="E15" s="3"/>
      <c r="F15" s="3"/>
      <c r="G15" s="3"/>
      <c r="H15" s="27"/>
      <c r="I15" s="27"/>
      <c r="J15" s="3"/>
      <c r="K15" s="3"/>
      <c r="L15" s="3"/>
      <c r="M15" s="3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34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</row>
    <row r="16" spans="1:96" ht="22.95" customHeight="1" x14ac:dyDescent="0.3">
      <c r="A16" s="6"/>
      <c r="B16" s="15" t="s">
        <v>27</v>
      </c>
      <c r="C16" s="16"/>
      <c r="D16" s="3"/>
      <c r="E16" s="3"/>
      <c r="F16" s="3"/>
      <c r="G16" s="3"/>
      <c r="H16" s="27"/>
      <c r="I16" s="27"/>
      <c r="J16" s="3"/>
      <c r="K16" s="3"/>
      <c r="L16" s="3"/>
      <c r="M16" s="3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34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</row>
    <row r="17" spans="1:96" ht="22.95" customHeight="1" x14ac:dyDescent="0.3">
      <c r="A17" s="7"/>
      <c r="B17" s="15" t="s">
        <v>24</v>
      </c>
      <c r="C17" s="16"/>
      <c r="D17" s="3"/>
      <c r="E17" s="3"/>
      <c r="F17" s="3"/>
      <c r="G17" s="3"/>
      <c r="H17" s="27"/>
      <c r="I17" s="27"/>
      <c r="J17" s="3"/>
      <c r="K17" s="3"/>
      <c r="L17" s="3"/>
      <c r="M17" s="3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34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</row>
    <row r="18" spans="1:96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34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</row>
    <row r="19" spans="1:96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34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</row>
    <row r="20" spans="1:96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34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</row>
    <row r="21" spans="1:96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34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</row>
    <row r="22" spans="1:96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34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</row>
    <row r="23" spans="1:96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34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</row>
    <row r="24" spans="1:96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4">IF(WEEKDAY(E$3)=2,_xlfn.ISOWEEKNUM(E$3),"")</f>
        <v/>
      </c>
      <c r="F24" s="28" t="str">
        <f t="shared" si="4"/>
        <v/>
      </c>
      <c r="G24" s="28" t="str">
        <f t="shared" si="4"/>
        <v/>
      </c>
      <c r="H24" s="29" t="str">
        <f t="shared" si="4"/>
        <v/>
      </c>
      <c r="I24" s="29" t="str">
        <f t="shared" si="4"/>
        <v/>
      </c>
      <c r="J24" s="28">
        <f t="shared" si="4"/>
        <v>50</v>
      </c>
      <c r="K24" s="28" t="str">
        <f t="shared" si="4"/>
        <v/>
      </c>
      <c r="L24" s="28" t="str">
        <f t="shared" si="4"/>
        <v/>
      </c>
      <c r="M24" s="28" t="str">
        <f t="shared" si="4"/>
        <v/>
      </c>
      <c r="N24" s="28" t="str">
        <f t="shared" si="4"/>
        <v/>
      </c>
      <c r="O24" s="29" t="str">
        <f t="shared" si="4"/>
        <v/>
      </c>
      <c r="P24" s="29" t="str">
        <f t="shared" si="4"/>
        <v/>
      </c>
      <c r="Q24" s="28">
        <f t="shared" si="4"/>
        <v>51</v>
      </c>
      <c r="R24" s="28" t="str">
        <f t="shared" si="4"/>
        <v/>
      </c>
      <c r="S24" s="28" t="str">
        <f t="shared" si="4"/>
        <v/>
      </c>
      <c r="T24" s="28" t="str">
        <f t="shared" si="4"/>
        <v/>
      </c>
      <c r="U24" s="28" t="str">
        <f t="shared" si="4"/>
        <v/>
      </c>
      <c r="V24" s="29" t="str">
        <f t="shared" si="4"/>
        <v/>
      </c>
      <c r="W24" s="29" t="str">
        <f t="shared" si="4"/>
        <v/>
      </c>
      <c r="X24" s="28">
        <f t="shared" si="4"/>
        <v>52</v>
      </c>
      <c r="Y24" s="28" t="str">
        <f t="shared" si="4"/>
        <v/>
      </c>
      <c r="Z24" s="28" t="str">
        <f t="shared" si="4"/>
        <v/>
      </c>
      <c r="AA24" s="28" t="str">
        <f t="shared" si="4"/>
        <v/>
      </c>
      <c r="AB24" s="29" t="str">
        <f t="shared" si="4"/>
        <v/>
      </c>
      <c r="AC24" s="29" t="str">
        <f t="shared" si="4"/>
        <v/>
      </c>
      <c r="AD24" s="29" t="str">
        <f t="shared" si="4"/>
        <v/>
      </c>
      <c r="AE24" s="28">
        <f t="shared" si="4"/>
        <v>53</v>
      </c>
      <c r="AF24" s="28" t="str">
        <f t="shared" si="4"/>
        <v/>
      </c>
      <c r="AG24" s="28" t="str">
        <f t="shared" si="4"/>
        <v/>
      </c>
      <c r="AH24" s="28" t="str">
        <f t="shared" si="4"/>
        <v/>
      </c>
      <c r="AI24" s="29" t="str">
        <f>IF(WEEKDAY(AI$3)=2,_xlfn.ISOWEEKNUM(AI$3),"")</f>
        <v/>
      </c>
      <c r="AJ24" s="29" t="str">
        <f t="shared" si="4"/>
        <v/>
      </c>
      <c r="AK24" s="29" t="str">
        <f t="shared" si="4"/>
        <v/>
      </c>
      <c r="AL24" s="28">
        <f t="shared" si="4"/>
        <v>1</v>
      </c>
      <c r="AM24" s="28" t="str">
        <f t="shared" si="4"/>
        <v/>
      </c>
      <c r="AN24" s="28" t="str">
        <f t="shared" si="4"/>
        <v/>
      </c>
      <c r="AO24" s="28" t="str">
        <f t="shared" si="4"/>
        <v/>
      </c>
      <c r="AP24" s="28" t="str">
        <f t="shared" si="4"/>
        <v/>
      </c>
      <c r="AQ24" s="29" t="str">
        <f t="shared" si="4"/>
        <v/>
      </c>
      <c r="AR24" s="29" t="str">
        <f t="shared" si="4"/>
        <v/>
      </c>
      <c r="AS24" s="28">
        <f t="shared" si="4"/>
        <v>2</v>
      </c>
      <c r="AT24" s="28" t="str">
        <f t="shared" si="4"/>
        <v/>
      </c>
      <c r="AU24" s="28" t="str">
        <f t="shared" si="4"/>
        <v/>
      </c>
      <c r="AV24" s="28" t="str">
        <f t="shared" si="4"/>
        <v/>
      </c>
      <c r="AW24" s="28" t="str">
        <f t="shared" si="4"/>
        <v/>
      </c>
      <c r="AX24" s="29" t="str">
        <f t="shared" si="4"/>
        <v/>
      </c>
      <c r="AY24" s="29" t="str">
        <f t="shared" si="4"/>
        <v/>
      </c>
      <c r="AZ24" s="28">
        <f t="shared" si="4"/>
        <v>3</v>
      </c>
      <c r="BA24" s="28" t="str">
        <f t="shared" si="4"/>
        <v/>
      </c>
      <c r="BB24" s="28" t="str">
        <f t="shared" si="4"/>
        <v/>
      </c>
      <c r="BC24" s="28" t="str">
        <f t="shared" si="4"/>
        <v/>
      </c>
      <c r="BD24" s="28" t="str">
        <f t="shared" si="4"/>
        <v/>
      </c>
      <c r="BE24" s="29" t="str">
        <f t="shared" si="4"/>
        <v/>
      </c>
      <c r="BF24" s="29" t="str">
        <f t="shared" si="4"/>
        <v/>
      </c>
      <c r="BG24" s="28">
        <f t="shared" si="4"/>
        <v>4</v>
      </c>
      <c r="BH24" s="28" t="str">
        <f t="shared" si="4"/>
        <v/>
      </c>
      <c r="BI24" s="28" t="str">
        <f t="shared" si="4"/>
        <v/>
      </c>
      <c r="BJ24" s="28" t="str">
        <f t="shared" si="4"/>
        <v/>
      </c>
      <c r="BK24" s="28" t="str">
        <f t="shared" si="4"/>
        <v/>
      </c>
      <c r="BL24" s="29" t="str">
        <f t="shared" si="4"/>
        <v/>
      </c>
      <c r="BM24" s="33" t="str">
        <f t="shared" si="4"/>
        <v/>
      </c>
      <c r="BN24" s="28">
        <f>IF(WEEKDAY(BN$3)=2,_xlfn.ISOWEEKNUM(BN$3),"")</f>
        <v>5</v>
      </c>
      <c r="BO24" s="28" t="str">
        <f t="shared" si="4"/>
        <v/>
      </c>
      <c r="BP24" s="28" t="str">
        <f t="shared" si="4"/>
        <v/>
      </c>
      <c r="BQ24" s="28" t="str">
        <f t="shared" ref="BQ24:CR24" si="5">IF(WEEKDAY(BQ$3)=2,_xlfn.ISOWEEKNUM(BQ$3),"")</f>
        <v/>
      </c>
      <c r="BR24" s="28" t="str">
        <f t="shared" si="5"/>
        <v/>
      </c>
      <c r="BS24" s="29" t="str">
        <f t="shared" si="5"/>
        <v/>
      </c>
      <c r="BT24" s="29" t="str">
        <f t="shared" si="5"/>
        <v/>
      </c>
      <c r="BU24" s="28">
        <f t="shared" si="5"/>
        <v>6</v>
      </c>
      <c r="BV24" s="28" t="str">
        <f t="shared" si="5"/>
        <v/>
      </c>
      <c r="BW24" s="28" t="str">
        <f t="shared" si="5"/>
        <v/>
      </c>
      <c r="BX24" s="28" t="str">
        <f t="shared" si="5"/>
        <v/>
      </c>
      <c r="BY24" s="28" t="str">
        <f t="shared" si="5"/>
        <v/>
      </c>
      <c r="BZ24" s="29" t="str">
        <f t="shared" si="5"/>
        <v/>
      </c>
      <c r="CA24" s="29" t="str">
        <f t="shared" si="5"/>
        <v/>
      </c>
      <c r="CB24" s="28">
        <f t="shared" si="5"/>
        <v>7</v>
      </c>
      <c r="CC24" s="28" t="str">
        <f t="shared" si="5"/>
        <v/>
      </c>
      <c r="CD24" s="28" t="str">
        <f t="shared" si="5"/>
        <v/>
      </c>
      <c r="CE24" s="28" t="str">
        <f t="shared" si="5"/>
        <v/>
      </c>
      <c r="CF24" s="28" t="str">
        <f t="shared" si="5"/>
        <v/>
      </c>
      <c r="CG24" s="29" t="str">
        <f t="shared" si="5"/>
        <v/>
      </c>
      <c r="CH24" s="29" t="str">
        <f t="shared" si="5"/>
        <v/>
      </c>
      <c r="CI24" s="28">
        <f t="shared" si="5"/>
        <v>8</v>
      </c>
      <c r="CJ24" s="28" t="str">
        <f t="shared" si="5"/>
        <v/>
      </c>
      <c r="CK24" s="28" t="str">
        <f t="shared" si="5"/>
        <v/>
      </c>
      <c r="CL24" s="28" t="str">
        <f t="shared" si="5"/>
        <v/>
      </c>
      <c r="CM24" s="28" t="str">
        <f t="shared" si="5"/>
        <v/>
      </c>
      <c r="CN24" s="29" t="str">
        <f t="shared" si="5"/>
        <v/>
      </c>
      <c r="CO24" s="29" t="str">
        <f t="shared" si="5"/>
        <v/>
      </c>
      <c r="CP24" s="28" t="str">
        <f t="shared" si="5"/>
        <v/>
      </c>
      <c r="CQ24" s="28" t="str">
        <f t="shared" si="5"/>
        <v/>
      </c>
      <c r="CR24" s="28" t="str">
        <f t="shared" si="5"/>
        <v/>
      </c>
    </row>
    <row r="25" spans="1:96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34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</row>
    <row r="26" spans="1:96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34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</row>
    <row r="27" spans="1:96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34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</row>
    <row r="28" spans="1:96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34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</row>
    <row r="29" spans="1:96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34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</row>
    <row r="30" spans="1:96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34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</row>
    <row r="31" spans="1:96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34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</row>
    <row r="32" spans="1:96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34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</row>
    <row r="33" spans="1:96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34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</row>
    <row r="34" spans="1:96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6">IF(WEEKDAY(E$3)=2,_xlfn.ISOWEEKNUM(E$3),"")</f>
        <v/>
      </c>
      <c r="F34" s="28" t="str">
        <f t="shared" si="6"/>
        <v/>
      </c>
      <c r="G34" s="28" t="str">
        <f t="shared" si="6"/>
        <v/>
      </c>
      <c r="H34" s="29" t="str">
        <f t="shared" si="6"/>
        <v/>
      </c>
      <c r="I34" s="29" t="str">
        <f t="shared" si="6"/>
        <v/>
      </c>
      <c r="J34" s="28">
        <f t="shared" si="6"/>
        <v>50</v>
      </c>
      <c r="K34" s="28" t="str">
        <f t="shared" si="6"/>
        <v/>
      </c>
      <c r="L34" s="28" t="str">
        <f t="shared" si="6"/>
        <v/>
      </c>
      <c r="M34" s="28" t="str">
        <f t="shared" si="6"/>
        <v/>
      </c>
      <c r="N34" s="28" t="str">
        <f t="shared" si="6"/>
        <v/>
      </c>
      <c r="O34" s="29" t="str">
        <f t="shared" si="6"/>
        <v/>
      </c>
      <c r="P34" s="29" t="str">
        <f t="shared" si="6"/>
        <v/>
      </c>
      <c r="Q34" s="28">
        <f t="shared" si="6"/>
        <v>51</v>
      </c>
      <c r="R34" s="28" t="str">
        <f t="shared" si="6"/>
        <v/>
      </c>
      <c r="S34" s="28" t="str">
        <f t="shared" si="6"/>
        <v/>
      </c>
      <c r="T34" s="28" t="str">
        <f t="shared" si="6"/>
        <v/>
      </c>
      <c r="U34" s="28" t="str">
        <f t="shared" si="6"/>
        <v/>
      </c>
      <c r="V34" s="29" t="str">
        <f t="shared" si="6"/>
        <v/>
      </c>
      <c r="W34" s="29" t="str">
        <f t="shared" si="6"/>
        <v/>
      </c>
      <c r="X34" s="28">
        <f t="shared" si="6"/>
        <v>52</v>
      </c>
      <c r="Y34" s="28" t="str">
        <f t="shared" si="6"/>
        <v/>
      </c>
      <c r="Z34" s="28" t="str">
        <f t="shared" si="6"/>
        <v/>
      </c>
      <c r="AA34" s="28" t="str">
        <f t="shared" si="6"/>
        <v/>
      </c>
      <c r="AB34" s="29" t="str">
        <f t="shared" si="6"/>
        <v/>
      </c>
      <c r="AC34" s="29" t="str">
        <f t="shared" si="6"/>
        <v/>
      </c>
      <c r="AD34" s="29" t="str">
        <f t="shared" si="6"/>
        <v/>
      </c>
      <c r="AE34" s="28">
        <f t="shared" si="6"/>
        <v>53</v>
      </c>
      <c r="AF34" s="28" t="str">
        <f t="shared" si="6"/>
        <v/>
      </c>
      <c r="AG34" s="28" t="str">
        <f t="shared" si="6"/>
        <v/>
      </c>
      <c r="AH34" s="28" t="str">
        <f t="shared" si="6"/>
        <v/>
      </c>
      <c r="AI34" s="29" t="str">
        <f>IF(WEEKDAY(AI$3)=2,_xlfn.ISOWEEKNUM(AI$3),"")</f>
        <v/>
      </c>
      <c r="AJ34" s="29" t="str">
        <f t="shared" si="6"/>
        <v/>
      </c>
      <c r="AK34" s="29" t="str">
        <f t="shared" si="6"/>
        <v/>
      </c>
      <c r="AL34" s="28">
        <f t="shared" si="6"/>
        <v>1</v>
      </c>
      <c r="AM34" s="28" t="str">
        <f t="shared" si="6"/>
        <v/>
      </c>
      <c r="AN34" s="28" t="str">
        <f t="shared" si="6"/>
        <v/>
      </c>
      <c r="AO34" s="28" t="str">
        <f t="shared" si="6"/>
        <v/>
      </c>
      <c r="AP34" s="28" t="str">
        <f t="shared" si="6"/>
        <v/>
      </c>
      <c r="AQ34" s="29" t="str">
        <f t="shared" si="6"/>
        <v/>
      </c>
      <c r="AR34" s="29" t="str">
        <f t="shared" si="6"/>
        <v/>
      </c>
      <c r="AS34" s="28">
        <f t="shared" si="6"/>
        <v>2</v>
      </c>
      <c r="AT34" s="28" t="str">
        <f t="shared" si="6"/>
        <v/>
      </c>
      <c r="AU34" s="28" t="str">
        <f t="shared" si="6"/>
        <v/>
      </c>
      <c r="AV34" s="28" t="str">
        <f t="shared" si="6"/>
        <v/>
      </c>
      <c r="AW34" s="28" t="str">
        <f t="shared" si="6"/>
        <v/>
      </c>
      <c r="AX34" s="29" t="str">
        <f t="shared" si="6"/>
        <v/>
      </c>
      <c r="AY34" s="29" t="str">
        <f t="shared" si="6"/>
        <v/>
      </c>
      <c r="AZ34" s="28">
        <f t="shared" si="6"/>
        <v>3</v>
      </c>
      <c r="BA34" s="28" t="str">
        <f t="shared" si="6"/>
        <v/>
      </c>
      <c r="BB34" s="28" t="str">
        <f t="shared" si="6"/>
        <v/>
      </c>
      <c r="BC34" s="28" t="str">
        <f t="shared" si="6"/>
        <v/>
      </c>
      <c r="BD34" s="28" t="str">
        <f t="shared" si="6"/>
        <v/>
      </c>
      <c r="BE34" s="29" t="str">
        <f t="shared" si="6"/>
        <v/>
      </c>
      <c r="BF34" s="29" t="str">
        <f t="shared" si="6"/>
        <v/>
      </c>
      <c r="BG34" s="28">
        <f t="shared" si="6"/>
        <v>4</v>
      </c>
      <c r="BH34" s="28" t="str">
        <f t="shared" si="6"/>
        <v/>
      </c>
      <c r="BI34" s="28" t="str">
        <f t="shared" si="6"/>
        <v/>
      </c>
      <c r="BJ34" s="28" t="str">
        <f t="shared" si="6"/>
        <v/>
      </c>
      <c r="BK34" s="28" t="str">
        <f t="shared" si="6"/>
        <v/>
      </c>
      <c r="BL34" s="29" t="str">
        <f t="shared" si="6"/>
        <v/>
      </c>
      <c r="BM34" s="33" t="str">
        <f t="shared" si="6"/>
        <v/>
      </c>
      <c r="BN34" s="28">
        <f>IF(WEEKDAY(BN$3)=2,_xlfn.ISOWEEKNUM(BN$3),"")</f>
        <v>5</v>
      </c>
      <c r="BO34" s="28" t="str">
        <f t="shared" si="6"/>
        <v/>
      </c>
      <c r="BP34" s="28" t="str">
        <f t="shared" si="6"/>
        <v/>
      </c>
      <c r="BQ34" s="28" t="str">
        <f t="shared" ref="BQ34:CR34" si="7">IF(WEEKDAY(BQ$3)=2,_xlfn.ISOWEEKNUM(BQ$3),"")</f>
        <v/>
      </c>
      <c r="BR34" s="28" t="str">
        <f t="shared" si="7"/>
        <v/>
      </c>
      <c r="BS34" s="29" t="str">
        <f t="shared" si="7"/>
        <v/>
      </c>
      <c r="BT34" s="29" t="str">
        <f t="shared" si="7"/>
        <v/>
      </c>
      <c r="BU34" s="28">
        <f t="shared" si="7"/>
        <v>6</v>
      </c>
      <c r="BV34" s="28" t="str">
        <f t="shared" si="7"/>
        <v/>
      </c>
      <c r="BW34" s="28" t="str">
        <f t="shared" si="7"/>
        <v/>
      </c>
      <c r="BX34" s="28" t="str">
        <f t="shared" si="7"/>
        <v/>
      </c>
      <c r="BY34" s="28" t="str">
        <f t="shared" si="7"/>
        <v/>
      </c>
      <c r="BZ34" s="29" t="str">
        <f t="shared" si="7"/>
        <v/>
      </c>
      <c r="CA34" s="29" t="str">
        <f t="shared" si="7"/>
        <v/>
      </c>
      <c r="CB34" s="28">
        <f t="shared" si="7"/>
        <v>7</v>
      </c>
      <c r="CC34" s="28" t="str">
        <f t="shared" si="7"/>
        <v/>
      </c>
      <c r="CD34" s="28" t="str">
        <f t="shared" si="7"/>
        <v/>
      </c>
      <c r="CE34" s="28" t="str">
        <f t="shared" si="7"/>
        <v/>
      </c>
      <c r="CF34" s="28" t="str">
        <f t="shared" si="7"/>
        <v/>
      </c>
      <c r="CG34" s="29" t="str">
        <f t="shared" si="7"/>
        <v/>
      </c>
      <c r="CH34" s="29" t="str">
        <f t="shared" si="7"/>
        <v/>
      </c>
      <c r="CI34" s="28">
        <f t="shared" si="7"/>
        <v>8</v>
      </c>
      <c r="CJ34" s="28" t="str">
        <f t="shared" si="7"/>
        <v/>
      </c>
      <c r="CK34" s="28" t="str">
        <f t="shared" si="7"/>
        <v/>
      </c>
      <c r="CL34" s="28" t="str">
        <f t="shared" si="7"/>
        <v/>
      </c>
      <c r="CM34" s="28" t="str">
        <f t="shared" si="7"/>
        <v/>
      </c>
      <c r="CN34" s="29" t="str">
        <f t="shared" si="7"/>
        <v/>
      </c>
      <c r="CO34" s="29" t="str">
        <f t="shared" si="7"/>
        <v/>
      </c>
      <c r="CP34" s="28" t="str">
        <f t="shared" si="7"/>
        <v/>
      </c>
      <c r="CQ34" s="28" t="str">
        <f t="shared" si="7"/>
        <v/>
      </c>
      <c r="CR34" s="28" t="str">
        <f t="shared" si="7"/>
        <v/>
      </c>
    </row>
    <row r="35" spans="1:96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34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</row>
    <row r="36" spans="1:96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34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</row>
    <row r="37" spans="1:96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34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</row>
    <row r="38" spans="1:96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34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</row>
    <row r="39" spans="1:96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34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</row>
    <row r="40" spans="1:96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34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</row>
    <row r="41" spans="1:96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34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</row>
    <row r="42" spans="1:96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34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</row>
    <row r="43" spans="1:96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34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</row>
    <row r="44" spans="1:96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8">IF(WEEKDAY(E$3)=2,_xlfn.ISOWEEKNUM(E$3),"")</f>
        <v/>
      </c>
      <c r="F44" s="28" t="str">
        <f t="shared" si="8"/>
        <v/>
      </c>
      <c r="G44" s="28" t="str">
        <f t="shared" si="8"/>
        <v/>
      </c>
      <c r="H44" s="29" t="str">
        <f t="shared" si="8"/>
        <v/>
      </c>
      <c r="I44" s="29" t="str">
        <f t="shared" si="8"/>
        <v/>
      </c>
      <c r="J44" s="28">
        <f t="shared" si="8"/>
        <v>50</v>
      </c>
      <c r="K44" s="28" t="str">
        <f t="shared" si="8"/>
        <v/>
      </c>
      <c r="L44" s="28" t="str">
        <f t="shared" si="8"/>
        <v/>
      </c>
      <c r="M44" s="28" t="str">
        <f t="shared" si="8"/>
        <v/>
      </c>
      <c r="N44" s="28" t="str">
        <f t="shared" si="8"/>
        <v/>
      </c>
      <c r="O44" s="29" t="str">
        <f t="shared" si="8"/>
        <v/>
      </c>
      <c r="P44" s="29" t="str">
        <f t="shared" si="8"/>
        <v/>
      </c>
      <c r="Q44" s="28">
        <f t="shared" si="8"/>
        <v>51</v>
      </c>
      <c r="R44" s="28" t="str">
        <f t="shared" si="8"/>
        <v/>
      </c>
      <c r="S44" s="28" t="str">
        <f t="shared" si="8"/>
        <v/>
      </c>
      <c r="T44" s="28" t="str">
        <f t="shared" si="8"/>
        <v/>
      </c>
      <c r="U44" s="28" t="str">
        <f t="shared" si="8"/>
        <v/>
      </c>
      <c r="V44" s="29" t="str">
        <f t="shared" si="8"/>
        <v/>
      </c>
      <c r="W44" s="29" t="str">
        <f t="shared" si="8"/>
        <v/>
      </c>
      <c r="X44" s="28">
        <f t="shared" si="8"/>
        <v>52</v>
      </c>
      <c r="Y44" s="28" t="str">
        <f t="shared" si="8"/>
        <v/>
      </c>
      <c r="Z44" s="28" t="str">
        <f t="shared" si="8"/>
        <v/>
      </c>
      <c r="AA44" s="28" t="str">
        <f t="shared" si="8"/>
        <v/>
      </c>
      <c r="AB44" s="29" t="str">
        <f t="shared" si="8"/>
        <v/>
      </c>
      <c r="AC44" s="29" t="str">
        <f t="shared" si="8"/>
        <v/>
      </c>
      <c r="AD44" s="29" t="str">
        <f t="shared" si="8"/>
        <v/>
      </c>
      <c r="AE44" s="28">
        <f t="shared" si="8"/>
        <v>53</v>
      </c>
      <c r="AF44" s="28" t="str">
        <f t="shared" si="8"/>
        <v/>
      </c>
      <c r="AG44" s="28" t="str">
        <f t="shared" si="8"/>
        <v/>
      </c>
      <c r="AH44" s="28" t="str">
        <f t="shared" si="8"/>
        <v/>
      </c>
      <c r="AI44" s="29" t="str">
        <f>IF(WEEKDAY(AI$3)=2,_xlfn.ISOWEEKNUM(AI$3),"")</f>
        <v/>
      </c>
      <c r="AJ44" s="29" t="str">
        <f t="shared" si="8"/>
        <v/>
      </c>
      <c r="AK44" s="29" t="str">
        <f t="shared" si="8"/>
        <v/>
      </c>
      <c r="AL44" s="28">
        <f t="shared" si="8"/>
        <v>1</v>
      </c>
      <c r="AM44" s="28" t="str">
        <f t="shared" si="8"/>
        <v/>
      </c>
      <c r="AN44" s="28" t="str">
        <f t="shared" si="8"/>
        <v/>
      </c>
      <c r="AO44" s="28" t="str">
        <f t="shared" si="8"/>
        <v/>
      </c>
      <c r="AP44" s="28" t="str">
        <f t="shared" si="8"/>
        <v/>
      </c>
      <c r="AQ44" s="29" t="str">
        <f t="shared" si="8"/>
        <v/>
      </c>
      <c r="AR44" s="29" t="str">
        <f t="shared" si="8"/>
        <v/>
      </c>
      <c r="AS44" s="28">
        <f t="shared" si="8"/>
        <v>2</v>
      </c>
      <c r="AT44" s="28" t="str">
        <f t="shared" si="8"/>
        <v/>
      </c>
      <c r="AU44" s="28" t="str">
        <f t="shared" si="8"/>
        <v/>
      </c>
      <c r="AV44" s="28" t="str">
        <f t="shared" si="8"/>
        <v/>
      </c>
      <c r="AW44" s="28" t="str">
        <f t="shared" si="8"/>
        <v/>
      </c>
      <c r="AX44" s="29" t="str">
        <f t="shared" si="8"/>
        <v/>
      </c>
      <c r="AY44" s="29" t="str">
        <f t="shared" si="8"/>
        <v/>
      </c>
      <c r="AZ44" s="28">
        <f t="shared" si="8"/>
        <v>3</v>
      </c>
      <c r="BA44" s="28" t="str">
        <f t="shared" si="8"/>
        <v/>
      </c>
      <c r="BB44" s="28" t="str">
        <f t="shared" si="8"/>
        <v/>
      </c>
      <c r="BC44" s="28" t="str">
        <f t="shared" si="8"/>
        <v/>
      </c>
      <c r="BD44" s="28" t="str">
        <f t="shared" si="8"/>
        <v/>
      </c>
      <c r="BE44" s="29" t="str">
        <f t="shared" si="8"/>
        <v/>
      </c>
      <c r="BF44" s="29" t="str">
        <f t="shared" si="8"/>
        <v/>
      </c>
      <c r="BG44" s="28">
        <f t="shared" si="8"/>
        <v>4</v>
      </c>
      <c r="BH44" s="28" t="str">
        <f t="shared" si="8"/>
        <v/>
      </c>
      <c r="BI44" s="28" t="str">
        <f t="shared" si="8"/>
        <v/>
      </c>
      <c r="BJ44" s="28" t="str">
        <f t="shared" si="8"/>
        <v/>
      </c>
      <c r="BK44" s="28" t="str">
        <f t="shared" si="8"/>
        <v/>
      </c>
      <c r="BL44" s="29" t="str">
        <f t="shared" si="8"/>
        <v/>
      </c>
      <c r="BM44" s="33" t="str">
        <f t="shared" si="8"/>
        <v/>
      </c>
      <c r="BN44" s="28">
        <f>IF(WEEKDAY(BN$3)=2,_xlfn.ISOWEEKNUM(BN$3),"")</f>
        <v>5</v>
      </c>
      <c r="BO44" s="28" t="str">
        <f t="shared" si="8"/>
        <v/>
      </c>
      <c r="BP44" s="28" t="str">
        <f t="shared" si="8"/>
        <v/>
      </c>
      <c r="BQ44" s="28" t="str">
        <f t="shared" ref="BQ44:CR44" si="9">IF(WEEKDAY(BQ$3)=2,_xlfn.ISOWEEKNUM(BQ$3),"")</f>
        <v/>
      </c>
      <c r="BR44" s="28" t="str">
        <f t="shared" si="9"/>
        <v/>
      </c>
      <c r="BS44" s="29" t="str">
        <f t="shared" si="9"/>
        <v/>
      </c>
      <c r="BT44" s="29" t="str">
        <f t="shared" si="9"/>
        <v/>
      </c>
      <c r="BU44" s="28">
        <f t="shared" si="9"/>
        <v>6</v>
      </c>
      <c r="BV44" s="28" t="str">
        <f t="shared" si="9"/>
        <v/>
      </c>
      <c r="BW44" s="28" t="str">
        <f t="shared" si="9"/>
        <v/>
      </c>
      <c r="BX44" s="28" t="str">
        <f t="shared" si="9"/>
        <v/>
      </c>
      <c r="BY44" s="28" t="str">
        <f t="shared" si="9"/>
        <v/>
      </c>
      <c r="BZ44" s="29" t="str">
        <f t="shared" si="9"/>
        <v/>
      </c>
      <c r="CA44" s="29" t="str">
        <f t="shared" si="9"/>
        <v/>
      </c>
      <c r="CB44" s="28">
        <f t="shared" si="9"/>
        <v>7</v>
      </c>
      <c r="CC44" s="28" t="str">
        <f t="shared" si="9"/>
        <v/>
      </c>
      <c r="CD44" s="28" t="str">
        <f t="shared" si="9"/>
        <v/>
      </c>
      <c r="CE44" s="28" t="str">
        <f t="shared" si="9"/>
        <v/>
      </c>
      <c r="CF44" s="28" t="str">
        <f t="shared" si="9"/>
        <v/>
      </c>
      <c r="CG44" s="29" t="str">
        <f t="shared" si="9"/>
        <v/>
      </c>
      <c r="CH44" s="29" t="str">
        <f t="shared" si="9"/>
        <v/>
      </c>
      <c r="CI44" s="28">
        <f t="shared" si="9"/>
        <v>8</v>
      </c>
      <c r="CJ44" s="28" t="str">
        <f t="shared" si="9"/>
        <v/>
      </c>
      <c r="CK44" s="28" t="str">
        <f t="shared" si="9"/>
        <v/>
      </c>
      <c r="CL44" s="28" t="str">
        <f t="shared" si="9"/>
        <v/>
      </c>
      <c r="CM44" s="28" t="str">
        <f t="shared" si="9"/>
        <v/>
      </c>
      <c r="CN44" s="29" t="str">
        <f t="shared" si="9"/>
        <v/>
      </c>
      <c r="CO44" s="29" t="str">
        <f t="shared" si="9"/>
        <v/>
      </c>
      <c r="CP44" s="28" t="str">
        <f t="shared" si="9"/>
        <v/>
      </c>
      <c r="CQ44" s="28" t="str">
        <f t="shared" si="9"/>
        <v/>
      </c>
      <c r="CR44" s="28" t="str">
        <f t="shared" si="9"/>
        <v/>
      </c>
    </row>
    <row r="45" spans="1:96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34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</row>
    <row r="46" spans="1:96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34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</row>
    <row r="47" spans="1:96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34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</row>
    <row r="48" spans="1:96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34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</row>
    <row r="49" spans="1:96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34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</row>
    <row r="50" spans="1:96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34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</row>
    <row r="51" spans="1:96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34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</row>
    <row r="52" spans="1:96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34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</row>
    <row r="53" spans="1:96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34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</row>
    <row r="54" spans="1:96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0">IF(WEEKDAY(E$3)=2,_xlfn.ISOWEEKNUM(E$3),"")</f>
        <v/>
      </c>
      <c r="F54" s="28" t="str">
        <f t="shared" si="10"/>
        <v/>
      </c>
      <c r="G54" s="28" t="str">
        <f t="shared" si="10"/>
        <v/>
      </c>
      <c r="H54" s="29" t="str">
        <f t="shared" si="10"/>
        <v/>
      </c>
      <c r="I54" s="29" t="str">
        <f t="shared" si="10"/>
        <v/>
      </c>
      <c r="J54" s="28">
        <f t="shared" si="10"/>
        <v>50</v>
      </c>
      <c r="K54" s="28" t="str">
        <f t="shared" si="10"/>
        <v/>
      </c>
      <c r="L54" s="28" t="str">
        <f t="shared" si="10"/>
        <v/>
      </c>
      <c r="M54" s="28" t="str">
        <f t="shared" si="10"/>
        <v/>
      </c>
      <c r="N54" s="28" t="str">
        <f t="shared" si="10"/>
        <v/>
      </c>
      <c r="O54" s="29" t="str">
        <f t="shared" si="10"/>
        <v/>
      </c>
      <c r="P54" s="29" t="str">
        <f t="shared" si="10"/>
        <v/>
      </c>
      <c r="Q54" s="28">
        <f t="shared" si="10"/>
        <v>51</v>
      </c>
      <c r="R54" s="28" t="str">
        <f t="shared" si="10"/>
        <v/>
      </c>
      <c r="S54" s="28" t="str">
        <f t="shared" si="10"/>
        <v/>
      </c>
      <c r="T54" s="28" t="str">
        <f t="shared" si="10"/>
        <v/>
      </c>
      <c r="U54" s="28" t="str">
        <f t="shared" si="10"/>
        <v/>
      </c>
      <c r="V54" s="29" t="str">
        <f t="shared" si="10"/>
        <v/>
      </c>
      <c r="W54" s="29" t="str">
        <f t="shared" si="10"/>
        <v/>
      </c>
      <c r="X54" s="28">
        <f t="shared" si="10"/>
        <v>52</v>
      </c>
      <c r="Y54" s="28" t="str">
        <f t="shared" si="10"/>
        <v/>
      </c>
      <c r="Z54" s="28" t="str">
        <f t="shared" si="10"/>
        <v/>
      </c>
      <c r="AA54" s="28" t="str">
        <f t="shared" si="10"/>
        <v/>
      </c>
      <c r="AB54" s="29" t="str">
        <f t="shared" si="10"/>
        <v/>
      </c>
      <c r="AC54" s="29" t="str">
        <f t="shared" si="10"/>
        <v/>
      </c>
      <c r="AD54" s="29" t="str">
        <f t="shared" si="10"/>
        <v/>
      </c>
      <c r="AE54" s="28">
        <f t="shared" si="10"/>
        <v>53</v>
      </c>
      <c r="AF54" s="28" t="str">
        <f t="shared" si="10"/>
        <v/>
      </c>
      <c r="AG54" s="28" t="str">
        <f t="shared" si="10"/>
        <v/>
      </c>
      <c r="AH54" s="28" t="str">
        <f t="shared" si="10"/>
        <v/>
      </c>
      <c r="AI54" s="29" t="str">
        <f>IF(WEEKDAY(AI$3)=2,_xlfn.ISOWEEKNUM(AI$3),"")</f>
        <v/>
      </c>
      <c r="AJ54" s="29" t="str">
        <f t="shared" si="10"/>
        <v/>
      </c>
      <c r="AK54" s="29" t="str">
        <f t="shared" si="10"/>
        <v/>
      </c>
      <c r="AL54" s="28">
        <f t="shared" si="10"/>
        <v>1</v>
      </c>
      <c r="AM54" s="28" t="str">
        <f t="shared" si="10"/>
        <v/>
      </c>
      <c r="AN54" s="28" t="str">
        <f t="shared" si="10"/>
        <v/>
      </c>
      <c r="AO54" s="28" t="str">
        <f t="shared" si="10"/>
        <v/>
      </c>
      <c r="AP54" s="28" t="str">
        <f t="shared" si="10"/>
        <v/>
      </c>
      <c r="AQ54" s="29" t="str">
        <f t="shared" si="10"/>
        <v/>
      </c>
      <c r="AR54" s="29" t="str">
        <f t="shared" si="10"/>
        <v/>
      </c>
      <c r="AS54" s="28">
        <f t="shared" si="10"/>
        <v>2</v>
      </c>
      <c r="AT54" s="28" t="str">
        <f t="shared" si="10"/>
        <v/>
      </c>
      <c r="AU54" s="28" t="str">
        <f t="shared" si="10"/>
        <v/>
      </c>
      <c r="AV54" s="28" t="str">
        <f t="shared" si="10"/>
        <v/>
      </c>
      <c r="AW54" s="28" t="str">
        <f t="shared" si="10"/>
        <v/>
      </c>
      <c r="AX54" s="29" t="str">
        <f t="shared" si="10"/>
        <v/>
      </c>
      <c r="AY54" s="29" t="str">
        <f t="shared" si="10"/>
        <v/>
      </c>
      <c r="AZ54" s="28">
        <f t="shared" si="10"/>
        <v>3</v>
      </c>
      <c r="BA54" s="28" t="str">
        <f t="shared" si="10"/>
        <v/>
      </c>
      <c r="BB54" s="28" t="str">
        <f t="shared" si="10"/>
        <v/>
      </c>
      <c r="BC54" s="28" t="str">
        <f t="shared" si="10"/>
        <v/>
      </c>
      <c r="BD54" s="28" t="str">
        <f t="shared" si="10"/>
        <v/>
      </c>
      <c r="BE54" s="29" t="str">
        <f t="shared" si="10"/>
        <v/>
      </c>
      <c r="BF54" s="29" t="str">
        <f t="shared" si="10"/>
        <v/>
      </c>
      <c r="BG54" s="28">
        <f t="shared" si="10"/>
        <v>4</v>
      </c>
      <c r="BH54" s="28" t="str">
        <f t="shared" si="10"/>
        <v/>
      </c>
      <c r="BI54" s="28" t="str">
        <f t="shared" si="10"/>
        <v/>
      </c>
      <c r="BJ54" s="28" t="str">
        <f t="shared" si="10"/>
        <v/>
      </c>
      <c r="BK54" s="28" t="str">
        <f t="shared" si="10"/>
        <v/>
      </c>
      <c r="BL54" s="29" t="str">
        <f t="shared" si="10"/>
        <v/>
      </c>
      <c r="BM54" s="33" t="str">
        <f t="shared" si="10"/>
        <v/>
      </c>
      <c r="BN54" s="28">
        <f>IF(WEEKDAY(BN$3)=2,_xlfn.ISOWEEKNUM(BN$3),"")</f>
        <v>5</v>
      </c>
      <c r="BO54" s="28" t="str">
        <f t="shared" si="10"/>
        <v/>
      </c>
      <c r="BP54" s="28" t="str">
        <f t="shared" si="10"/>
        <v/>
      </c>
      <c r="BQ54" s="28" t="str">
        <f t="shared" ref="BQ54:CR54" si="11">IF(WEEKDAY(BQ$3)=2,_xlfn.ISOWEEKNUM(BQ$3),"")</f>
        <v/>
      </c>
      <c r="BR54" s="28" t="str">
        <f t="shared" si="11"/>
        <v/>
      </c>
      <c r="BS54" s="29" t="str">
        <f t="shared" si="11"/>
        <v/>
      </c>
      <c r="BT54" s="29" t="str">
        <f t="shared" si="11"/>
        <v/>
      </c>
      <c r="BU54" s="28">
        <f t="shared" si="11"/>
        <v>6</v>
      </c>
      <c r="BV54" s="28" t="str">
        <f t="shared" si="11"/>
        <v/>
      </c>
      <c r="BW54" s="28" t="str">
        <f t="shared" si="11"/>
        <v/>
      </c>
      <c r="BX54" s="28" t="str">
        <f t="shared" si="11"/>
        <v/>
      </c>
      <c r="BY54" s="28" t="str">
        <f t="shared" si="11"/>
        <v/>
      </c>
      <c r="BZ54" s="29" t="str">
        <f t="shared" si="11"/>
        <v/>
      </c>
      <c r="CA54" s="29" t="str">
        <f t="shared" si="11"/>
        <v/>
      </c>
      <c r="CB54" s="28">
        <f t="shared" si="11"/>
        <v>7</v>
      </c>
      <c r="CC54" s="28" t="str">
        <f t="shared" si="11"/>
        <v/>
      </c>
      <c r="CD54" s="28" t="str">
        <f t="shared" si="11"/>
        <v/>
      </c>
      <c r="CE54" s="28" t="str">
        <f t="shared" si="11"/>
        <v/>
      </c>
      <c r="CF54" s="28" t="str">
        <f t="shared" si="11"/>
        <v/>
      </c>
      <c r="CG54" s="29" t="str">
        <f t="shared" si="11"/>
        <v/>
      </c>
      <c r="CH54" s="29" t="str">
        <f t="shared" si="11"/>
        <v/>
      </c>
      <c r="CI54" s="28">
        <f t="shared" si="11"/>
        <v>8</v>
      </c>
      <c r="CJ54" s="28" t="str">
        <f t="shared" si="11"/>
        <v/>
      </c>
      <c r="CK54" s="28" t="str">
        <f t="shared" si="11"/>
        <v/>
      </c>
      <c r="CL54" s="28" t="str">
        <f t="shared" si="11"/>
        <v/>
      </c>
      <c r="CM54" s="28" t="str">
        <f t="shared" si="11"/>
        <v/>
      </c>
      <c r="CN54" s="29" t="str">
        <f t="shared" si="11"/>
        <v/>
      </c>
      <c r="CO54" s="29" t="str">
        <f t="shared" si="11"/>
        <v/>
      </c>
      <c r="CP54" s="28" t="str">
        <f t="shared" si="11"/>
        <v/>
      </c>
      <c r="CQ54" s="28" t="str">
        <f t="shared" si="11"/>
        <v/>
      </c>
      <c r="CR54" s="28" t="str">
        <f t="shared" si="11"/>
        <v/>
      </c>
    </row>
    <row r="55" spans="1:96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34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</row>
    <row r="56" spans="1:96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34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</row>
    <row r="57" spans="1:96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34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</row>
    <row r="58" spans="1:96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34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</row>
    <row r="59" spans="1:96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34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</row>
    <row r="60" spans="1:96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34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</row>
    <row r="61" spans="1:96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34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</row>
    <row r="62" spans="1:96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34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</row>
    <row r="63" spans="1:96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34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</row>
    <row r="64" spans="1:96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2">IF(WEEKDAY(E$3)=2,_xlfn.ISOWEEKNUM(E$3),"")</f>
        <v/>
      </c>
      <c r="F64" s="28" t="str">
        <f t="shared" si="12"/>
        <v/>
      </c>
      <c r="G64" s="28" t="str">
        <f t="shared" si="12"/>
        <v/>
      </c>
      <c r="H64" s="29" t="str">
        <f t="shared" si="12"/>
        <v/>
      </c>
      <c r="I64" s="29" t="str">
        <f t="shared" si="12"/>
        <v/>
      </c>
      <c r="J64" s="28">
        <f t="shared" si="12"/>
        <v>50</v>
      </c>
      <c r="K64" s="28" t="str">
        <f t="shared" si="12"/>
        <v/>
      </c>
      <c r="L64" s="28" t="str">
        <f t="shared" si="12"/>
        <v/>
      </c>
      <c r="M64" s="28" t="str">
        <f t="shared" si="12"/>
        <v/>
      </c>
      <c r="N64" s="28" t="str">
        <f t="shared" si="12"/>
        <v/>
      </c>
      <c r="O64" s="29" t="str">
        <f t="shared" si="12"/>
        <v/>
      </c>
      <c r="P64" s="29" t="str">
        <f t="shared" si="12"/>
        <v/>
      </c>
      <c r="Q64" s="28">
        <f t="shared" si="12"/>
        <v>51</v>
      </c>
      <c r="R64" s="28" t="str">
        <f t="shared" si="12"/>
        <v/>
      </c>
      <c r="S64" s="28" t="str">
        <f t="shared" si="12"/>
        <v/>
      </c>
      <c r="T64" s="28" t="str">
        <f t="shared" si="12"/>
        <v/>
      </c>
      <c r="U64" s="28" t="str">
        <f t="shared" si="12"/>
        <v/>
      </c>
      <c r="V64" s="29" t="str">
        <f t="shared" si="12"/>
        <v/>
      </c>
      <c r="W64" s="29" t="str">
        <f t="shared" si="12"/>
        <v/>
      </c>
      <c r="X64" s="28">
        <f t="shared" si="12"/>
        <v>52</v>
      </c>
      <c r="Y64" s="28" t="str">
        <f t="shared" si="12"/>
        <v/>
      </c>
      <c r="Z64" s="28" t="str">
        <f t="shared" si="12"/>
        <v/>
      </c>
      <c r="AA64" s="28" t="str">
        <f t="shared" si="12"/>
        <v/>
      </c>
      <c r="AB64" s="29" t="str">
        <f t="shared" si="12"/>
        <v/>
      </c>
      <c r="AC64" s="29" t="str">
        <f t="shared" si="12"/>
        <v/>
      </c>
      <c r="AD64" s="29" t="str">
        <f t="shared" si="12"/>
        <v/>
      </c>
      <c r="AE64" s="28">
        <f t="shared" si="12"/>
        <v>53</v>
      </c>
      <c r="AF64" s="28" t="str">
        <f t="shared" si="12"/>
        <v/>
      </c>
      <c r="AG64" s="28" t="str">
        <f t="shared" si="12"/>
        <v/>
      </c>
      <c r="AH64" s="28" t="str">
        <f t="shared" si="12"/>
        <v/>
      </c>
      <c r="AI64" s="29" t="str">
        <f>IF(WEEKDAY(AI$3)=2,_xlfn.ISOWEEKNUM(AI$3),"")</f>
        <v/>
      </c>
      <c r="AJ64" s="29" t="str">
        <f t="shared" si="12"/>
        <v/>
      </c>
      <c r="AK64" s="29" t="str">
        <f t="shared" si="12"/>
        <v/>
      </c>
      <c r="AL64" s="28">
        <f t="shared" si="12"/>
        <v>1</v>
      </c>
      <c r="AM64" s="28" t="str">
        <f t="shared" si="12"/>
        <v/>
      </c>
      <c r="AN64" s="28" t="str">
        <f t="shared" si="12"/>
        <v/>
      </c>
      <c r="AO64" s="28" t="str">
        <f t="shared" si="12"/>
        <v/>
      </c>
      <c r="AP64" s="28" t="str">
        <f t="shared" si="12"/>
        <v/>
      </c>
      <c r="AQ64" s="29" t="str">
        <f t="shared" si="12"/>
        <v/>
      </c>
      <c r="AR64" s="29" t="str">
        <f t="shared" si="12"/>
        <v/>
      </c>
      <c r="AS64" s="28">
        <f t="shared" si="12"/>
        <v>2</v>
      </c>
      <c r="AT64" s="28" t="str">
        <f t="shared" si="12"/>
        <v/>
      </c>
      <c r="AU64" s="28" t="str">
        <f t="shared" si="12"/>
        <v/>
      </c>
      <c r="AV64" s="28" t="str">
        <f t="shared" si="12"/>
        <v/>
      </c>
      <c r="AW64" s="28" t="str">
        <f t="shared" si="12"/>
        <v/>
      </c>
      <c r="AX64" s="29" t="str">
        <f t="shared" si="12"/>
        <v/>
      </c>
      <c r="AY64" s="29" t="str">
        <f t="shared" si="12"/>
        <v/>
      </c>
      <c r="AZ64" s="28">
        <f t="shared" si="12"/>
        <v>3</v>
      </c>
      <c r="BA64" s="28" t="str">
        <f t="shared" si="12"/>
        <v/>
      </c>
      <c r="BB64" s="28" t="str">
        <f t="shared" si="12"/>
        <v/>
      </c>
      <c r="BC64" s="28" t="str">
        <f t="shared" si="12"/>
        <v/>
      </c>
      <c r="BD64" s="28" t="str">
        <f t="shared" si="12"/>
        <v/>
      </c>
      <c r="BE64" s="29" t="str">
        <f t="shared" si="12"/>
        <v/>
      </c>
      <c r="BF64" s="29" t="str">
        <f t="shared" si="12"/>
        <v/>
      </c>
      <c r="BG64" s="28">
        <f t="shared" si="12"/>
        <v>4</v>
      </c>
      <c r="BH64" s="28" t="str">
        <f t="shared" si="12"/>
        <v/>
      </c>
      <c r="BI64" s="28" t="str">
        <f t="shared" si="12"/>
        <v/>
      </c>
      <c r="BJ64" s="28" t="str">
        <f t="shared" si="12"/>
        <v/>
      </c>
      <c r="BK64" s="28" t="str">
        <f t="shared" si="12"/>
        <v/>
      </c>
      <c r="BL64" s="29" t="str">
        <f t="shared" si="12"/>
        <v/>
      </c>
      <c r="BM64" s="33" t="str">
        <f t="shared" si="12"/>
        <v/>
      </c>
      <c r="BN64" s="28">
        <f>IF(WEEKDAY(BN$3)=2,_xlfn.ISOWEEKNUM(BN$3),"")</f>
        <v>5</v>
      </c>
      <c r="BO64" s="28" t="str">
        <f t="shared" si="12"/>
        <v/>
      </c>
      <c r="BP64" s="28" t="str">
        <f t="shared" si="12"/>
        <v/>
      </c>
      <c r="BQ64" s="28" t="str">
        <f t="shared" ref="BQ64:CR64" si="13">IF(WEEKDAY(BQ$3)=2,_xlfn.ISOWEEKNUM(BQ$3),"")</f>
        <v/>
      </c>
      <c r="BR64" s="28" t="str">
        <f t="shared" si="13"/>
        <v/>
      </c>
      <c r="BS64" s="29" t="str">
        <f t="shared" si="13"/>
        <v/>
      </c>
      <c r="BT64" s="29" t="str">
        <f t="shared" si="13"/>
        <v/>
      </c>
      <c r="BU64" s="28">
        <f t="shared" si="13"/>
        <v>6</v>
      </c>
      <c r="BV64" s="28" t="str">
        <f t="shared" si="13"/>
        <v/>
      </c>
      <c r="BW64" s="28" t="str">
        <f t="shared" si="13"/>
        <v/>
      </c>
      <c r="BX64" s="28" t="str">
        <f t="shared" si="13"/>
        <v/>
      </c>
      <c r="BY64" s="28" t="str">
        <f t="shared" si="13"/>
        <v/>
      </c>
      <c r="BZ64" s="29" t="str">
        <f t="shared" si="13"/>
        <v/>
      </c>
      <c r="CA64" s="29" t="str">
        <f t="shared" si="13"/>
        <v/>
      </c>
      <c r="CB64" s="28">
        <f t="shared" si="13"/>
        <v>7</v>
      </c>
      <c r="CC64" s="28" t="str">
        <f t="shared" si="13"/>
        <v/>
      </c>
      <c r="CD64" s="28" t="str">
        <f t="shared" si="13"/>
        <v/>
      </c>
      <c r="CE64" s="28" t="str">
        <f t="shared" si="13"/>
        <v/>
      </c>
      <c r="CF64" s="28" t="str">
        <f t="shared" si="13"/>
        <v/>
      </c>
      <c r="CG64" s="29" t="str">
        <f t="shared" si="13"/>
        <v/>
      </c>
      <c r="CH64" s="29" t="str">
        <f t="shared" si="13"/>
        <v/>
      </c>
      <c r="CI64" s="28">
        <f t="shared" si="13"/>
        <v>8</v>
      </c>
      <c r="CJ64" s="28" t="str">
        <f t="shared" si="13"/>
        <v/>
      </c>
      <c r="CK64" s="28" t="str">
        <f t="shared" si="13"/>
        <v/>
      </c>
      <c r="CL64" s="28" t="str">
        <f t="shared" si="13"/>
        <v/>
      </c>
      <c r="CM64" s="28" t="str">
        <f t="shared" si="13"/>
        <v/>
      </c>
      <c r="CN64" s="29" t="str">
        <f t="shared" si="13"/>
        <v/>
      </c>
      <c r="CO64" s="29" t="str">
        <f t="shared" si="13"/>
        <v/>
      </c>
      <c r="CP64" s="28" t="str">
        <f t="shared" si="13"/>
        <v/>
      </c>
      <c r="CQ64" s="28" t="str">
        <f t="shared" si="13"/>
        <v/>
      </c>
      <c r="CR64" s="28" t="str">
        <f t="shared" si="13"/>
        <v/>
      </c>
    </row>
    <row r="65" spans="1:96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34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</row>
    <row r="66" spans="1:96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34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</row>
    <row r="67" spans="1:96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34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</row>
    <row r="68" spans="1:96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34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</row>
    <row r="69" spans="1:96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34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</row>
    <row r="70" spans="1:96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34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</row>
    <row r="71" spans="1:96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34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</row>
    <row r="72" spans="1:96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34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</row>
    <row r="73" spans="1:96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34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</row>
    <row r="74" spans="1:96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14">IF(WEEKDAY(E$3)=2,_xlfn.ISOWEEKNUM(E$3),"")</f>
        <v/>
      </c>
      <c r="F74" s="28" t="str">
        <f t="shared" si="14"/>
        <v/>
      </c>
      <c r="G74" s="28" t="str">
        <f t="shared" si="14"/>
        <v/>
      </c>
      <c r="H74" s="29" t="str">
        <f t="shared" si="14"/>
        <v/>
      </c>
      <c r="I74" s="29" t="str">
        <f t="shared" si="14"/>
        <v/>
      </c>
      <c r="J74" s="28">
        <f t="shared" si="14"/>
        <v>50</v>
      </c>
      <c r="K74" s="28" t="str">
        <f t="shared" si="14"/>
        <v/>
      </c>
      <c r="L74" s="28" t="str">
        <f t="shared" si="14"/>
        <v/>
      </c>
      <c r="M74" s="28" t="str">
        <f t="shared" si="14"/>
        <v/>
      </c>
      <c r="N74" s="28" t="str">
        <f t="shared" si="14"/>
        <v/>
      </c>
      <c r="O74" s="29" t="str">
        <f t="shared" si="14"/>
        <v/>
      </c>
      <c r="P74" s="29" t="str">
        <f t="shared" si="14"/>
        <v/>
      </c>
      <c r="Q74" s="28">
        <f t="shared" si="14"/>
        <v>51</v>
      </c>
      <c r="R74" s="28" t="str">
        <f t="shared" si="14"/>
        <v/>
      </c>
      <c r="S74" s="28" t="str">
        <f t="shared" si="14"/>
        <v/>
      </c>
      <c r="T74" s="28" t="str">
        <f t="shared" si="14"/>
        <v/>
      </c>
      <c r="U74" s="28" t="str">
        <f t="shared" si="14"/>
        <v/>
      </c>
      <c r="V74" s="29" t="str">
        <f t="shared" si="14"/>
        <v/>
      </c>
      <c r="W74" s="29" t="str">
        <f t="shared" si="14"/>
        <v/>
      </c>
      <c r="X74" s="28">
        <f t="shared" si="14"/>
        <v>52</v>
      </c>
      <c r="Y74" s="28" t="str">
        <f t="shared" si="14"/>
        <v/>
      </c>
      <c r="Z74" s="28" t="str">
        <f t="shared" si="14"/>
        <v/>
      </c>
      <c r="AA74" s="28" t="str">
        <f t="shared" si="14"/>
        <v/>
      </c>
      <c r="AB74" s="29" t="str">
        <f t="shared" si="14"/>
        <v/>
      </c>
      <c r="AC74" s="29" t="str">
        <f t="shared" si="14"/>
        <v/>
      </c>
      <c r="AD74" s="29" t="str">
        <f t="shared" si="14"/>
        <v/>
      </c>
      <c r="AE74" s="28">
        <f t="shared" si="14"/>
        <v>53</v>
      </c>
      <c r="AF74" s="28" t="str">
        <f t="shared" si="14"/>
        <v/>
      </c>
      <c r="AG74" s="28" t="str">
        <f t="shared" si="14"/>
        <v/>
      </c>
      <c r="AH74" s="28" t="str">
        <f t="shared" si="14"/>
        <v/>
      </c>
      <c r="AI74" s="29" t="str">
        <f>IF(WEEKDAY(AI$3)=2,_xlfn.ISOWEEKNUM(AI$3),"")</f>
        <v/>
      </c>
      <c r="AJ74" s="29" t="str">
        <f t="shared" si="14"/>
        <v/>
      </c>
      <c r="AK74" s="29" t="str">
        <f t="shared" si="14"/>
        <v/>
      </c>
      <c r="AL74" s="28">
        <f t="shared" si="14"/>
        <v>1</v>
      </c>
      <c r="AM74" s="28" t="str">
        <f t="shared" si="14"/>
        <v/>
      </c>
      <c r="AN74" s="28" t="str">
        <f t="shared" si="14"/>
        <v/>
      </c>
      <c r="AO74" s="28" t="str">
        <f t="shared" si="14"/>
        <v/>
      </c>
      <c r="AP74" s="28" t="str">
        <f t="shared" si="14"/>
        <v/>
      </c>
      <c r="AQ74" s="29" t="str">
        <f t="shared" si="14"/>
        <v/>
      </c>
      <c r="AR74" s="29" t="str">
        <f t="shared" si="14"/>
        <v/>
      </c>
      <c r="AS74" s="28">
        <f t="shared" si="14"/>
        <v>2</v>
      </c>
      <c r="AT74" s="28" t="str">
        <f t="shared" si="14"/>
        <v/>
      </c>
      <c r="AU74" s="28" t="str">
        <f t="shared" si="14"/>
        <v/>
      </c>
      <c r="AV74" s="28" t="str">
        <f t="shared" si="14"/>
        <v/>
      </c>
      <c r="AW74" s="28" t="str">
        <f t="shared" si="14"/>
        <v/>
      </c>
      <c r="AX74" s="29" t="str">
        <f t="shared" si="14"/>
        <v/>
      </c>
      <c r="AY74" s="29" t="str">
        <f t="shared" si="14"/>
        <v/>
      </c>
      <c r="AZ74" s="28">
        <f t="shared" si="14"/>
        <v>3</v>
      </c>
      <c r="BA74" s="28" t="str">
        <f t="shared" si="14"/>
        <v/>
      </c>
      <c r="BB74" s="28" t="str">
        <f t="shared" si="14"/>
        <v/>
      </c>
      <c r="BC74" s="28" t="str">
        <f t="shared" si="14"/>
        <v/>
      </c>
      <c r="BD74" s="28" t="str">
        <f t="shared" si="14"/>
        <v/>
      </c>
      <c r="BE74" s="29" t="str">
        <f t="shared" si="14"/>
        <v/>
      </c>
      <c r="BF74" s="29" t="str">
        <f t="shared" si="14"/>
        <v/>
      </c>
      <c r="BG74" s="28">
        <f t="shared" si="14"/>
        <v>4</v>
      </c>
      <c r="BH74" s="28" t="str">
        <f t="shared" si="14"/>
        <v/>
      </c>
      <c r="BI74" s="28" t="str">
        <f t="shared" si="14"/>
        <v/>
      </c>
      <c r="BJ74" s="28" t="str">
        <f t="shared" si="14"/>
        <v/>
      </c>
      <c r="BK74" s="28" t="str">
        <f t="shared" si="14"/>
        <v/>
      </c>
      <c r="BL74" s="29" t="str">
        <f t="shared" si="14"/>
        <v/>
      </c>
      <c r="BM74" s="33" t="str">
        <f t="shared" si="14"/>
        <v/>
      </c>
      <c r="BN74" s="28">
        <f>IF(WEEKDAY(BN$3)=2,_xlfn.ISOWEEKNUM(BN$3),"")</f>
        <v>5</v>
      </c>
      <c r="BO74" s="28" t="str">
        <f t="shared" si="14"/>
        <v/>
      </c>
      <c r="BP74" s="28" t="str">
        <f t="shared" si="14"/>
        <v/>
      </c>
      <c r="BQ74" s="28" t="str">
        <f t="shared" ref="BQ74:CR74" si="15">IF(WEEKDAY(BQ$3)=2,_xlfn.ISOWEEKNUM(BQ$3),"")</f>
        <v/>
      </c>
      <c r="BR74" s="28" t="str">
        <f t="shared" si="15"/>
        <v/>
      </c>
      <c r="BS74" s="29" t="str">
        <f t="shared" si="15"/>
        <v/>
      </c>
      <c r="BT74" s="29" t="str">
        <f t="shared" si="15"/>
        <v/>
      </c>
      <c r="BU74" s="28">
        <f t="shared" si="15"/>
        <v>6</v>
      </c>
      <c r="BV74" s="28" t="str">
        <f t="shared" si="15"/>
        <v/>
      </c>
      <c r="BW74" s="28" t="str">
        <f t="shared" si="15"/>
        <v/>
      </c>
      <c r="BX74" s="28" t="str">
        <f t="shared" si="15"/>
        <v/>
      </c>
      <c r="BY74" s="28" t="str">
        <f t="shared" si="15"/>
        <v/>
      </c>
      <c r="BZ74" s="29" t="str">
        <f t="shared" si="15"/>
        <v/>
      </c>
      <c r="CA74" s="29" t="str">
        <f t="shared" si="15"/>
        <v/>
      </c>
      <c r="CB74" s="28">
        <f t="shared" si="15"/>
        <v>7</v>
      </c>
      <c r="CC74" s="28" t="str">
        <f t="shared" si="15"/>
        <v/>
      </c>
      <c r="CD74" s="28" t="str">
        <f t="shared" si="15"/>
        <v/>
      </c>
      <c r="CE74" s="28" t="str">
        <f t="shared" si="15"/>
        <v/>
      </c>
      <c r="CF74" s="28" t="str">
        <f t="shared" si="15"/>
        <v/>
      </c>
      <c r="CG74" s="29" t="str">
        <f t="shared" si="15"/>
        <v/>
      </c>
      <c r="CH74" s="29" t="str">
        <f t="shared" si="15"/>
        <v/>
      </c>
      <c r="CI74" s="28">
        <f t="shared" si="15"/>
        <v>8</v>
      </c>
      <c r="CJ74" s="28" t="str">
        <f t="shared" si="15"/>
        <v/>
      </c>
      <c r="CK74" s="28" t="str">
        <f t="shared" si="15"/>
        <v/>
      </c>
      <c r="CL74" s="28" t="str">
        <f t="shared" si="15"/>
        <v/>
      </c>
      <c r="CM74" s="28" t="str">
        <f t="shared" si="15"/>
        <v/>
      </c>
      <c r="CN74" s="29" t="str">
        <f t="shared" si="15"/>
        <v/>
      </c>
      <c r="CO74" s="29" t="str">
        <f t="shared" si="15"/>
        <v/>
      </c>
      <c r="CP74" s="28" t="str">
        <f t="shared" si="15"/>
        <v/>
      </c>
      <c r="CQ74" s="28" t="str">
        <f t="shared" si="15"/>
        <v/>
      </c>
      <c r="CR74" s="28" t="str">
        <f t="shared" si="15"/>
        <v/>
      </c>
    </row>
    <row r="75" spans="1:96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34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</row>
    <row r="76" spans="1:96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34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</row>
    <row r="77" spans="1:96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34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</row>
    <row r="78" spans="1:96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34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</row>
    <row r="79" spans="1:96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34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</row>
    <row r="80" spans="1:96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34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</row>
    <row r="81" spans="1:96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34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</row>
    <row r="82" spans="1:96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34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</row>
    <row r="83" spans="1:96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34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</row>
    <row r="84" spans="1:96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16">IF(WEEKDAY(E$3)=2,_xlfn.ISOWEEKNUM(E$3),"")</f>
        <v/>
      </c>
      <c r="F84" s="28" t="str">
        <f t="shared" si="16"/>
        <v/>
      </c>
      <c r="G84" s="28" t="str">
        <f t="shared" si="16"/>
        <v/>
      </c>
      <c r="H84" s="29" t="str">
        <f t="shared" si="16"/>
        <v/>
      </c>
      <c r="I84" s="29" t="str">
        <f t="shared" si="16"/>
        <v/>
      </c>
      <c r="J84" s="28">
        <f t="shared" si="16"/>
        <v>50</v>
      </c>
      <c r="K84" s="28" t="str">
        <f t="shared" si="16"/>
        <v/>
      </c>
      <c r="L84" s="28" t="str">
        <f t="shared" si="16"/>
        <v/>
      </c>
      <c r="M84" s="28" t="str">
        <f t="shared" si="16"/>
        <v/>
      </c>
      <c r="N84" s="28" t="str">
        <f t="shared" si="16"/>
        <v/>
      </c>
      <c r="O84" s="29" t="str">
        <f t="shared" si="16"/>
        <v/>
      </c>
      <c r="P84" s="29" t="str">
        <f t="shared" si="16"/>
        <v/>
      </c>
      <c r="Q84" s="28">
        <f t="shared" si="16"/>
        <v>51</v>
      </c>
      <c r="R84" s="28" t="str">
        <f t="shared" si="16"/>
        <v/>
      </c>
      <c r="S84" s="28" t="str">
        <f t="shared" si="16"/>
        <v/>
      </c>
      <c r="T84" s="28" t="str">
        <f t="shared" si="16"/>
        <v/>
      </c>
      <c r="U84" s="28" t="str">
        <f t="shared" si="16"/>
        <v/>
      </c>
      <c r="V84" s="29" t="str">
        <f t="shared" si="16"/>
        <v/>
      </c>
      <c r="W84" s="29" t="str">
        <f t="shared" si="16"/>
        <v/>
      </c>
      <c r="X84" s="28">
        <f t="shared" si="16"/>
        <v>52</v>
      </c>
      <c r="Y84" s="28" t="str">
        <f t="shared" si="16"/>
        <v/>
      </c>
      <c r="Z84" s="28" t="str">
        <f t="shared" si="16"/>
        <v/>
      </c>
      <c r="AA84" s="28" t="str">
        <f t="shared" si="16"/>
        <v/>
      </c>
      <c r="AB84" s="29" t="str">
        <f t="shared" si="16"/>
        <v/>
      </c>
      <c r="AC84" s="29" t="str">
        <f t="shared" si="16"/>
        <v/>
      </c>
      <c r="AD84" s="29" t="str">
        <f t="shared" si="16"/>
        <v/>
      </c>
      <c r="AE84" s="28">
        <f t="shared" si="16"/>
        <v>53</v>
      </c>
      <c r="AF84" s="28" t="str">
        <f t="shared" si="16"/>
        <v/>
      </c>
      <c r="AG84" s="28" t="str">
        <f t="shared" si="16"/>
        <v/>
      </c>
      <c r="AH84" s="28" t="str">
        <f t="shared" si="16"/>
        <v/>
      </c>
      <c r="AI84" s="29" t="str">
        <f>IF(WEEKDAY(AI$3)=2,_xlfn.ISOWEEKNUM(AI$3),"")</f>
        <v/>
      </c>
      <c r="AJ84" s="29" t="str">
        <f t="shared" si="16"/>
        <v/>
      </c>
      <c r="AK84" s="29" t="str">
        <f t="shared" si="16"/>
        <v/>
      </c>
      <c r="AL84" s="28">
        <f t="shared" si="16"/>
        <v>1</v>
      </c>
      <c r="AM84" s="28" t="str">
        <f t="shared" si="16"/>
        <v/>
      </c>
      <c r="AN84" s="28" t="str">
        <f t="shared" si="16"/>
        <v/>
      </c>
      <c r="AO84" s="28" t="str">
        <f t="shared" si="16"/>
        <v/>
      </c>
      <c r="AP84" s="28" t="str">
        <f t="shared" si="16"/>
        <v/>
      </c>
      <c r="AQ84" s="29" t="str">
        <f t="shared" si="16"/>
        <v/>
      </c>
      <c r="AR84" s="29" t="str">
        <f t="shared" si="16"/>
        <v/>
      </c>
      <c r="AS84" s="28">
        <f t="shared" si="16"/>
        <v>2</v>
      </c>
      <c r="AT84" s="28" t="str">
        <f t="shared" si="16"/>
        <v/>
      </c>
      <c r="AU84" s="28" t="str">
        <f t="shared" si="16"/>
        <v/>
      </c>
      <c r="AV84" s="28" t="str">
        <f t="shared" si="16"/>
        <v/>
      </c>
      <c r="AW84" s="28" t="str">
        <f t="shared" si="16"/>
        <v/>
      </c>
      <c r="AX84" s="29" t="str">
        <f t="shared" si="16"/>
        <v/>
      </c>
      <c r="AY84" s="29" t="str">
        <f t="shared" si="16"/>
        <v/>
      </c>
      <c r="AZ84" s="28">
        <f t="shared" si="16"/>
        <v>3</v>
      </c>
      <c r="BA84" s="28" t="str">
        <f t="shared" si="16"/>
        <v/>
      </c>
      <c r="BB84" s="28" t="str">
        <f t="shared" si="16"/>
        <v/>
      </c>
      <c r="BC84" s="28" t="str">
        <f t="shared" si="16"/>
        <v/>
      </c>
      <c r="BD84" s="28" t="str">
        <f t="shared" si="16"/>
        <v/>
      </c>
      <c r="BE84" s="29" t="str">
        <f t="shared" si="16"/>
        <v/>
      </c>
      <c r="BF84" s="29" t="str">
        <f t="shared" si="16"/>
        <v/>
      </c>
      <c r="BG84" s="28">
        <f t="shared" si="16"/>
        <v>4</v>
      </c>
      <c r="BH84" s="28" t="str">
        <f t="shared" si="16"/>
        <v/>
      </c>
      <c r="BI84" s="28" t="str">
        <f t="shared" si="16"/>
        <v/>
      </c>
      <c r="BJ84" s="28" t="str">
        <f t="shared" si="16"/>
        <v/>
      </c>
      <c r="BK84" s="28" t="str">
        <f t="shared" si="16"/>
        <v/>
      </c>
      <c r="BL84" s="29" t="str">
        <f t="shared" si="16"/>
        <v/>
      </c>
      <c r="BM84" s="33" t="str">
        <f t="shared" si="16"/>
        <v/>
      </c>
      <c r="BN84" s="28">
        <f>IF(WEEKDAY(BN$3)=2,_xlfn.ISOWEEKNUM(BN$3),"")</f>
        <v>5</v>
      </c>
      <c r="BO84" s="28" t="str">
        <f t="shared" si="16"/>
        <v/>
      </c>
      <c r="BP84" s="28" t="str">
        <f t="shared" si="16"/>
        <v/>
      </c>
      <c r="BQ84" s="28" t="str">
        <f t="shared" ref="BQ84:CR84" si="17">IF(WEEKDAY(BQ$3)=2,_xlfn.ISOWEEKNUM(BQ$3),"")</f>
        <v/>
      </c>
      <c r="BR84" s="28" t="str">
        <f t="shared" si="17"/>
        <v/>
      </c>
      <c r="BS84" s="29" t="str">
        <f t="shared" si="17"/>
        <v/>
      </c>
      <c r="BT84" s="29" t="str">
        <f t="shared" si="17"/>
        <v/>
      </c>
      <c r="BU84" s="28">
        <f t="shared" si="17"/>
        <v>6</v>
      </c>
      <c r="BV84" s="28" t="str">
        <f t="shared" si="17"/>
        <v/>
      </c>
      <c r="BW84" s="28" t="str">
        <f t="shared" si="17"/>
        <v/>
      </c>
      <c r="BX84" s="28" t="str">
        <f t="shared" si="17"/>
        <v/>
      </c>
      <c r="BY84" s="28" t="str">
        <f t="shared" si="17"/>
        <v/>
      </c>
      <c r="BZ84" s="29" t="str">
        <f t="shared" si="17"/>
        <v/>
      </c>
      <c r="CA84" s="29" t="str">
        <f t="shared" si="17"/>
        <v/>
      </c>
      <c r="CB84" s="28">
        <f t="shared" si="17"/>
        <v>7</v>
      </c>
      <c r="CC84" s="28" t="str">
        <f t="shared" si="17"/>
        <v/>
      </c>
      <c r="CD84" s="28" t="str">
        <f t="shared" si="17"/>
        <v/>
      </c>
      <c r="CE84" s="28" t="str">
        <f t="shared" si="17"/>
        <v/>
      </c>
      <c r="CF84" s="28" t="str">
        <f t="shared" si="17"/>
        <v/>
      </c>
      <c r="CG84" s="29" t="str">
        <f t="shared" si="17"/>
        <v/>
      </c>
      <c r="CH84" s="29" t="str">
        <f t="shared" si="17"/>
        <v/>
      </c>
      <c r="CI84" s="28">
        <f t="shared" si="17"/>
        <v>8</v>
      </c>
      <c r="CJ84" s="28" t="str">
        <f t="shared" si="17"/>
        <v/>
      </c>
      <c r="CK84" s="28" t="str">
        <f t="shared" si="17"/>
        <v/>
      </c>
      <c r="CL84" s="28" t="str">
        <f t="shared" si="17"/>
        <v/>
      </c>
      <c r="CM84" s="28" t="str">
        <f t="shared" si="17"/>
        <v/>
      </c>
      <c r="CN84" s="29" t="str">
        <f t="shared" si="17"/>
        <v/>
      </c>
      <c r="CO84" s="29" t="str">
        <f t="shared" si="17"/>
        <v/>
      </c>
      <c r="CP84" s="28" t="str">
        <f t="shared" si="17"/>
        <v/>
      </c>
      <c r="CQ84" s="28" t="str">
        <f t="shared" si="17"/>
        <v/>
      </c>
      <c r="CR84" s="28" t="str">
        <f t="shared" si="17"/>
        <v/>
      </c>
    </row>
    <row r="85" spans="1:96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34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</row>
    <row r="86" spans="1:96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34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</row>
    <row r="87" spans="1:96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34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</row>
    <row r="88" spans="1:96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34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</row>
    <row r="89" spans="1:96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34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</row>
    <row r="90" spans="1:96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34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</row>
    <row r="91" spans="1:96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34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</row>
    <row r="92" spans="1:96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34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</row>
    <row r="93" spans="1:96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34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</row>
    <row r="94" spans="1:96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18">IF(WEEKDAY(E$3)=2,_xlfn.ISOWEEKNUM(E$3),"")</f>
        <v/>
      </c>
      <c r="F94" s="28" t="str">
        <f t="shared" si="18"/>
        <v/>
      </c>
      <c r="G94" s="28" t="str">
        <f t="shared" si="18"/>
        <v/>
      </c>
      <c r="H94" s="29" t="str">
        <f t="shared" si="18"/>
        <v/>
      </c>
      <c r="I94" s="29" t="str">
        <f t="shared" si="18"/>
        <v/>
      </c>
      <c r="J94" s="28">
        <f t="shared" si="18"/>
        <v>50</v>
      </c>
      <c r="K94" s="28" t="str">
        <f t="shared" si="18"/>
        <v/>
      </c>
      <c r="L94" s="28" t="str">
        <f t="shared" si="18"/>
        <v/>
      </c>
      <c r="M94" s="28" t="str">
        <f t="shared" si="18"/>
        <v/>
      </c>
      <c r="N94" s="28" t="str">
        <f t="shared" si="18"/>
        <v/>
      </c>
      <c r="O94" s="29" t="str">
        <f t="shared" si="18"/>
        <v/>
      </c>
      <c r="P94" s="29" t="str">
        <f t="shared" si="18"/>
        <v/>
      </c>
      <c r="Q94" s="28">
        <f t="shared" si="18"/>
        <v>51</v>
      </c>
      <c r="R94" s="28" t="str">
        <f t="shared" si="18"/>
        <v/>
      </c>
      <c r="S94" s="28" t="str">
        <f t="shared" si="18"/>
        <v/>
      </c>
      <c r="T94" s="28" t="str">
        <f t="shared" si="18"/>
        <v/>
      </c>
      <c r="U94" s="28" t="str">
        <f t="shared" si="18"/>
        <v/>
      </c>
      <c r="V94" s="29" t="str">
        <f t="shared" si="18"/>
        <v/>
      </c>
      <c r="W94" s="29" t="str">
        <f t="shared" si="18"/>
        <v/>
      </c>
      <c r="X94" s="28">
        <f t="shared" si="18"/>
        <v>52</v>
      </c>
      <c r="Y94" s="28" t="str">
        <f t="shared" si="18"/>
        <v/>
      </c>
      <c r="Z94" s="28" t="str">
        <f t="shared" si="18"/>
        <v/>
      </c>
      <c r="AA94" s="28" t="str">
        <f t="shared" si="18"/>
        <v/>
      </c>
      <c r="AB94" s="29" t="str">
        <f t="shared" si="18"/>
        <v/>
      </c>
      <c r="AC94" s="29" t="str">
        <f t="shared" si="18"/>
        <v/>
      </c>
      <c r="AD94" s="29" t="str">
        <f t="shared" si="18"/>
        <v/>
      </c>
      <c r="AE94" s="28">
        <f t="shared" si="18"/>
        <v>53</v>
      </c>
      <c r="AF94" s="28" t="str">
        <f t="shared" si="18"/>
        <v/>
      </c>
      <c r="AG94" s="28" t="str">
        <f t="shared" si="18"/>
        <v/>
      </c>
      <c r="AH94" s="28" t="str">
        <f t="shared" si="18"/>
        <v/>
      </c>
      <c r="AI94" s="29" t="str">
        <f>IF(WEEKDAY(AI$3)=2,_xlfn.ISOWEEKNUM(AI$3),"")</f>
        <v/>
      </c>
      <c r="AJ94" s="29" t="str">
        <f t="shared" si="18"/>
        <v/>
      </c>
      <c r="AK94" s="29" t="str">
        <f t="shared" si="18"/>
        <v/>
      </c>
      <c r="AL94" s="28">
        <f t="shared" si="18"/>
        <v>1</v>
      </c>
      <c r="AM94" s="28" t="str">
        <f t="shared" si="18"/>
        <v/>
      </c>
      <c r="AN94" s="28" t="str">
        <f t="shared" si="18"/>
        <v/>
      </c>
      <c r="AO94" s="28" t="str">
        <f t="shared" si="18"/>
        <v/>
      </c>
      <c r="AP94" s="28" t="str">
        <f t="shared" si="18"/>
        <v/>
      </c>
      <c r="AQ94" s="29" t="str">
        <f t="shared" si="18"/>
        <v/>
      </c>
      <c r="AR94" s="29" t="str">
        <f t="shared" si="18"/>
        <v/>
      </c>
      <c r="AS94" s="28">
        <f t="shared" si="18"/>
        <v>2</v>
      </c>
      <c r="AT94" s="28" t="str">
        <f t="shared" si="18"/>
        <v/>
      </c>
      <c r="AU94" s="28" t="str">
        <f t="shared" si="18"/>
        <v/>
      </c>
      <c r="AV94" s="28" t="str">
        <f t="shared" si="18"/>
        <v/>
      </c>
      <c r="AW94" s="28" t="str">
        <f t="shared" si="18"/>
        <v/>
      </c>
      <c r="AX94" s="29" t="str">
        <f t="shared" si="18"/>
        <v/>
      </c>
      <c r="AY94" s="29" t="str">
        <f t="shared" si="18"/>
        <v/>
      </c>
      <c r="AZ94" s="28">
        <f t="shared" si="18"/>
        <v>3</v>
      </c>
      <c r="BA94" s="28" t="str">
        <f t="shared" si="18"/>
        <v/>
      </c>
      <c r="BB94" s="28" t="str">
        <f t="shared" si="18"/>
        <v/>
      </c>
      <c r="BC94" s="28" t="str">
        <f t="shared" si="18"/>
        <v/>
      </c>
      <c r="BD94" s="28" t="str">
        <f t="shared" si="18"/>
        <v/>
      </c>
      <c r="BE94" s="29" t="str">
        <f t="shared" si="18"/>
        <v/>
      </c>
      <c r="BF94" s="29" t="str">
        <f t="shared" si="18"/>
        <v/>
      </c>
      <c r="BG94" s="28">
        <f t="shared" si="18"/>
        <v>4</v>
      </c>
      <c r="BH94" s="28" t="str">
        <f t="shared" si="18"/>
        <v/>
      </c>
      <c r="BI94" s="28" t="str">
        <f t="shared" si="18"/>
        <v/>
      </c>
      <c r="BJ94" s="28" t="str">
        <f t="shared" si="18"/>
        <v/>
      </c>
      <c r="BK94" s="28" t="str">
        <f t="shared" si="18"/>
        <v/>
      </c>
      <c r="BL94" s="29" t="str">
        <f t="shared" si="18"/>
        <v/>
      </c>
      <c r="BM94" s="33" t="str">
        <f t="shared" si="18"/>
        <v/>
      </c>
      <c r="BN94" s="28">
        <f>IF(WEEKDAY(BN$3)=2,_xlfn.ISOWEEKNUM(BN$3),"")</f>
        <v>5</v>
      </c>
      <c r="BO94" s="28" t="str">
        <f t="shared" si="18"/>
        <v/>
      </c>
      <c r="BP94" s="28" t="str">
        <f t="shared" si="18"/>
        <v/>
      </c>
      <c r="BQ94" s="28" t="str">
        <f t="shared" ref="BQ94:CR94" si="19">IF(WEEKDAY(BQ$3)=2,_xlfn.ISOWEEKNUM(BQ$3),"")</f>
        <v/>
      </c>
      <c r="BR94" s="28" t="str">
        <f t="shared" si="19"/>
        <v/>
      </c>
      <c r="BS94" s="29" t="str">
        <f t="shared" si="19"/>
        <v/>
      </c>
      <c r="BT94" s="29" t="str">
        <f t="shared" si="19"/>
        <v/>
      </c>
      <c r="BU94" s="28">
        <f t="shared" si="19"/>
        <v>6</v>
      </c>
      <c r="BV94" s="28" t="str">
        <f t="shared" si="19"/>
        <v/>
      </c>
      <c r="BW94" s="28" t="str">
        <f t="shared" si="19"/>
        <v/>
      </c>
      <c r="BX94" s="28" t="str">
        <f t="shared" si="19"/>
        <v/>
      </c>
      <c r="BY94" s="28" t="str">
        <f t="shared" si="19"/>
        <v/>
      </c>
      <c r="BZ94" s="29" t="str">
        <f t="shared" si="19"/>
        <v/>
      </c>
      <c r="CA94" s="29" t="str">
        <f t="shared" si="19"/>
        <v/>
      </c>
      <c r="CB94" s="28">
        <f t="shared" si="19"/>
        <v>7</v>
      </c>
      <c r="CC94" s="28" t="str">
        <f t="shared" si="19"/>
        <v/>
      </c>
      <c r="CD94" s="28" t="str">
        <f t="shared" si="19"/>
        <v/>
      </c>
      <c r="CE94" s="28" t="str">
        <f t="shared" si="19"/>
        <v/>
      </c>
      <c r="CF94" s="28" t="str">
        <f t="shared" si="19"/>
        <v/>
      </c>
      <c r="CG94" s="29" t="str">
        <f t="shared" si="19"/>
        <v/>
      </c>
      <c r="CH94" s="29" t="str">
        <f t="shared" si="19"/>
        <v/>
      </c>
      <c r="CI94" s="28">
        <f t="shared" si="19"/>
        <v>8</v>
      </c>
      <c r="CJ94" s="28" t="str">
        <f t="shared" si="19"/>
        <v/>
      </c>
      <c r="CK94" s="28" t="str">
        <f t="shared" si="19"/>
        <v/>
      </c>
      <c r="CL94" s="28" t="str">
        <f t="shared" si="19"/>
        <v/>
      </c>
      <c r="CM94" s="28" t="str">
        <f t="shared" si="19"/>
        <v/>
      </c>
      <c r="CN94" s="29" t="str">
        <f t="shared" si="19"/>
        <v/>
      </c>
      <c r="CO94" s="29" t="str">
        <f t="shared" si="19"/>
        <v/>
      </c>
      <c r="CP94" s="28" t="str">
        <f t="shared" si="19"/>
        <v/>
      </c>
      <c r="CQ94" s="28" t="str">
        <f t="shared" si="19"/>
        <v/>
      </c>
      <c r="CR94" s="28" t="str">
        <f t="shared" si="19"/>
        <v/>
      </c>
    </row>
    <row r="95" spans="1:96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34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</row>
    <row r="96" spans="1:96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34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</row>
    <row r="97" spans="1:96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34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</row>
    <row r="98" spans="1:96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34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</row>
    <row r="99" spans="1:96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34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</row>
    <row r="100" spans="1:96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34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</row>
    <row r="101" spans="1:96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34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</row>
    <row r="102" spans="1:96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34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</row>
    <row r="103" spans="1:96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34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</row>
    <row r="104" spans="1:96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20">IF(WEEKDAY(E$3)=2,_xlfn.ISOWEEKNUM(E$3),"")</f>
        <v/>
      </c>
      <c r="F104" s="28" t="str">
        <f t="shared" si="20"/>
        <v/>
      </c>
      <c r="G104" s="28" t="str">
        <f t="shared" si="20"/>
        <v/>
      </c>
      <c r="H104" s="29" t="str">
        <f t="shared" si="20"/>
        <v/>
      </c>
      <c r="I104" s="29" t="str">
        <f t="shared" si="20"/>
        <v/>
      </c>
      <c r="J104" s="28">
        <f t="shared" si="20"/>
        <v>50</v>
      </c>
      <c r="K104" s="28" t="str">
        <f t="shared" si="20"/>
        <v/>
      </c>
      <c r="L104" s="28" t="str">
        <f t="shared" si="20"/>
        <v/>
      </c>
      <c r="M104" s="28" t="str">
        <f t="shared" si="20"/>
        <v/>
      </c>
      <c r="N104" s="28" t="str">
        <f t="shared" si="20"/>
        <v/>
      </c>
      <c r="O104" s="29" t="str">
        <f t="shared" si="20"/>
        <v/>
      </c>
      <c r="P104" s="29" t="str">
        <f t="shared" si="20"/>
        <v/>
      </c>
      <c r="Q104" s="28">
        <f t="shared" si="20"/>
        <v>51</v>
      </c>
      <c r="R104" s="28" t="str">
        <f t="shared" si="20"/>
        <v/>
      </c>
      <c r="S104" s="28" t="str">
        <f t="shared" si="20"/>
        <v/>
      </c>
      <c r="T104" s="28" t="str">
        <f t="shared" si="20"/>
        <v/>
      </c>
      <c r="U104" s="28" t="str">
        <f t="shared" si="20"/>
        <v/>
      </c>
      <c r="V104" s="29" t="str">
        <f t="shared" si="20"/>
        <v/>
      </c>
      <c r="W104" s="29" t="str">
        <f t="shared" si="20"/>
        <v/>
      </c>
      <c r="X104" s="28">
        <f t="shared" si="20"/>
        <v>52</v>
      </c>
      <c r="Y104" s="28" t="str">
        <f t="shared" si="20"/>
        <v/>
      </c>
      <c r="Z104" s="28" t="str">
        <f t="shared" si="20"/>
        <v/>
      </c>
      <c r="AA104" s="28" t="str">
        <f t="shared" si="20"/>
        <v/>
      </c>
      <c r="AB104" s="29" t="str">
        <f t="shared" si="20"/>
        <v/>
      </c>
      <c r="AC104" s="29" t="str">
        <f t="shared" si="20"/>
        <v/>
      </c>
      <c r="AD104" s="29" t="str">
        <f t="shared" si="20"/>
        <v/>
      </c>
      <c r="AE104" s="28">
        <f t="shared" si="20"/>
        <v>53</v>
      </c>
      <c r="AF104" s="28" t="str">
        <f t="shared" si="20"/>
        <v/>
      </c>
      <c r="AG104" s="28" t="str">
        <f t="shared" si="20"/>
        <v/>
      </c>
      <c r="AH104" s="28" t="str">
        <f t="shared" si="20"/>
        <v/>
      </c>
      <c r="AI104" s="29" t="str">
        <f>IF(WEEKDAY(AI$3)=2,_xlfn.ISOWEEKNUM(AI$3),"")</f>
        <v/>
      </c>
      <c r="AJ104" s="29" t="str">
        <f t="shared" si="20"/>
        <v/>
      </c>
      <c r="AK104" s="29" t="str">
        <f t="shared" si="20"/>
        <v/>
      </c>
      <c r="AL104" s="28">
        <f t="shared" si="20"/>
        <v>1</v>
      </c>
      <c r="AM104" s="28" t="str">
        <f t="shared" si="20"/>
        <v/>
      </c>
      <c r="AN104" s="28" t="str">
        <f t="shared" si="20"/>
        <v/>
      </c>
      <c r="AO104" s="28" t="str">
        <f t="shared" si="20"/>
        <v/>
      </c>
      <c r="AP104" s="28" t="str">
        <f t="shared" si="20"/>
        <v/>
      </c>
      <c r="AQ104" s="29" t="str">
        <f t="shared" si="20"/>
        <v/>
      </c>
      <c r="AR104" s="29" t="str">
        <f t="shared" si="20"/>
        <v/>
      </c>
      <c r="AS104" s="28">
        <f t="shared" si="20"/>
        <v>2</v>
      </c>
      <c r="AT104" s="28" t="str">
        <f t="shared" si="20"/>
        <v/>
      </c>
      <c r="AU104" s="28" t="str">
        <f t="shared" si="20"/>
        <v/>
      </c>
      <c r="AV104" s="28" t="str">
        <f t="shared" si="20"/>
        <v/>
      </c>
      <c r="AW104" s="28" t="str">
        <f t="shared" si="20"/>
        <v/>
      </c>
      <c r="AX104" s="29" t="str">
        <f t="shared" si="20"/>
        <v/>
      </c>
      <c r="AY104" s="29" t="str">
        <f t="shared" si="20"/>
        <v/>
      </c>
      <c r="AZ104" s="28">
        <f t="shared" si="20"/>
        <v>3</v>
      </c>
      <c r="BA104" s="28" t="str">
        <f t="shared" si="20"/>
        <v/>
      </c>
      <c r="BB104" s="28" t="str">
        <f t="shared" si="20"/>
        <v/>
      </c>
      <c r="BC104" s="28" t="str">
        <f t="shared" si="20"/>
        <v/>
      </c>
      <c r="BD104" s="28" t="str">
        <f t="shared" si="20"/>
        <v/>
      </c>
      <c r="BE104" s="29" t="str">
        <f t="shared" si="20"/>
        <v/>
      </c>
      <c r="BF104" s="29" t="str">
        <f t="shared" si="20"/>
        <v/>
      </c>
      <c r="BG104" s="28">
        <f t="shared" si="20"/>
        <v>4</v>
      </c>
      <c r="BH104" s="28" t="str">
        <f t="shared" si="20"/>
        <v/>
      </c>
      <c r="BI104" s="28" t="str">
        <f t="shared" si="20"/>
        <v/>
      </c>
      <c r="BJ104" s="28" t="str">
        <f t="shared" si="20"/>
        <v/>
      </c>
      <c r="BK104" s="28" t="str">
        <f t="shared" si="20"/>
        <v/>
      </c>
      <c r="BL104" s="29" t="str">
        <f t="shared" si="20"/>
        <v/>
      </c>
      <c r="BM104" s="33" t="str">
        <f t="shared" si="20"/>
        <v/>
      </c>
      <c r="BN104" s="28">
        <f>IF(WEEKDAY(BN$3)=2,_xlfn.ISOWEEKNUM(BN$3),"")</f>
        <v>5</v>
      </c>
      <c r="BO104" s="28" t="str">
        <f t="shared" si="20"/>
        <v/>
      </c>
      <c r="BP104" s="28" t="str">
        <f t="shared" si="20"/>
        <v/>
      </c>
      <c r="BQ104" s="28" t="str">
        <f t="shared" ref="BQ104:CR104" si="21">IF(WEEKDAY(BQ$3)=2,_xlfn.ISOWEEKNUM(BQ$3),"")</f>
        <v/>
      </c>
      <c r="BR104" s="28" t="str">
        <f t="shared" si="21"/>
        <v/>
      </c>
      <c r="BS104" s="29" t="str">
        <f t="shared" si="21"/>
        <v/>
      </c>
      <c r="BT104" s="29" t="str">
        <f t="shared" si="21"/>
        <v/>
      </c>
      <c r="BU104" s="28">
        <f t="shared" si="21"/>
        <v>6</v>
      </c>
      <c r="BV104" s="28" t="str">
        <f t="shared" si="21"/>
        <v/>
      </c>
      <c r="BW104" s="28" t="str">
        <f t="shared" si="21"/>
        <v/>
      </c>
      <c r="BX104" s="28" t="str">
        <f t="shared" si="21"/>
        <v/>
      </c>
      <c r="BY104" s="28" t="str">
        <f t="shared" si="21"/>
        <v/>
      </c>
      <c r="BZ104" s="29" t="str">
        <f t="shared" si="21"/>
        <v/>
      </c>
      <c r="CA104" s="29" t="str">
        <f t="shared" si="21"/>
        <v/>
      </c>
      <c r="CB104" s="28">
        <f t="shared" si="21"/>
        <v>7</v>
      </c>
      <c r="CC104" s="28" t="str">
        <f t="shared" si="21"/>
        <v/>
      </c>
      <c r="CD104" s="28" t="str">
        <f t="shared" si="21"/>
        <v/>
      </c>
      <c r="CE104" s="28" t="str">
        <f t="shared" si="21"/>
        <v/>
      </c>
      <c r="CF104" s="28" t="str">
        <f t="shared" si="21"/>
        <v/>
      </c>
      <c r="CG104" s="29" t="str">
        <f t="shared" si="21"/>
        <v/>
      </c>
      <c r="CH104" s="29" t="str">
        <f t="shared" si="21"/>
        <v/>
      </c>
      <c r="CI104" s="28">
        <f t="shared" si="21"/>
        <v>8</v>
      </c>
      <c r="CJ104" s="28" t="str">
        <f t="shared" si="21"/>
        <v/>
      </c>
      <c r="CK104" s="28" t="str">
        <f t="shared" si="21"/>
        <v/>
      </c>
      <c r="CL104" s="28" t="str">
        <f t="shared" si="21"/>
        <v/>
      </c>
      <c r="CM104" s="28" t="str">
        <f t="shared" si="21"/>
        <v/>
      </c>
      <c r="CN104" s="29" t="str">
        <f t="shared" si="21"/>
        <v/>
      </c>
      <c r="CO104" s="29" t="str">
        <f t="shared" si="21"/>
        <v/>
      </c>
      <c r="CP104" s="28" t="str">
        <f t="shared" si="21"/>
        <v/>
      </c>
      <c r="CQ104" s="28" t="str">
        <f t="shared" si="21"/>
        <v/>
      </c>
      <c r="CR104" s="28" t="str">
        <f t="shared" si="21"/>
        <v/>
      </c>
    </row>
    <row r="105" spans="1:96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34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</row>
    <row r="106" spans="1:96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34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</row>
    <row r="107" spans="1:96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34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</row>
    <row r="108" spans="1:96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34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</row>
    <row r="109" spans="1:96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34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</row>
    <row r="110" spans="1:96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34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</row>
    <row r="111" spans="1:96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34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</row>
    <row r="112" spans="1:96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34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34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22">IF(WEEKDAY(E$3)=2,_xlfn.ISOWEEKNUM(E$3),"")</f>
        <v/>
      </c>
      <c r="F114" s="28" t="str">
        <f t="shared" si="22"/>
        <v/>
      </c>
      <c r="G114" s="28" t="str">
        <f t="shared" si="22"/>
        <v/>
      </c>
      <c r="H114" s="29" t="str">
        <f t="shared" si="22"/>
        <v/>
      </c>
      <c r="I114" s="29" t="str">
        <f t="shared" si="22"/>
        <v/>
      </c>
      <c r="J114" s="28">
        <f t="shared" si="22"/>
        <v>50</v>
      </c>
      <c r="K114" s="28" t="str">
        <f t="shared" si="22"/>
        <v/>
      </c>
      <c r="L114" s="28" t="str">
        <f t="shared" si="22"/>
        <v/>
      </c>
      <c r="M114" s="28" t="str">
        <f t="shared" si="22"/>
        <v/>
      </c>
      <c r="N114" s="28" t="str">
        <f t="shared" si="22"/>
        <v/>
      </c>
      <c r="O114" s="29" t="str">
        <f t="shared" si="22"/>
        <v/>
      </c>
      <c r="P114" s="29" t="str">
        <f t="shared" si="22"/>
        <v/>
      </c>
      <c r="Q114" s="28">
        <f t="shared" si="22"/>
        <v>51</v>
      </c>
      <c r="R114" s="28" t="str">
        <f t="shared" si="22"/>
        <v/>
      </c>
      <c r="S114" s="28" t="str">
        <f t="shared" si="22"/>
        <v/>
      </c>
      <c r="T114" s="28" t="str">
        <f t="shared" si="22"/>
        <v/>
      </c>
      <c r="U114" s="28" t="str">
        <f t="shared" si="22"/>
        <v/>
      </c>
      <c r="V114" s="29" t="str">
        <f t="shared" si="22"/>
        <v/>
      </c>
      <c r="W114" s="29" t="str">
        <f t="shared" si="22"/>
        <v/>
      </c>
      <c r="X114" s="28">
        <f t="shared" si="22"/>
        <v>52</v>
      </c>
      <c r="Y114" s="28" t="str">
        <f t="shared" si="22"/>
        <v/>
      </c>
      <c r="Z114" s="28" t="str">
        <f t="shared" si="22"/>
        <v/>
      </c>
      <c r="AA114" s="28" t="str">
        <f t="shared" si="22"/>
        <v/>
      </c>
      <c r="AB114" s="29" t="str">
        <f t="shared" si="22"/>
        <v/>
      </c>
      <c r="AC114" s="29" t="str">
        <f t="shared" si="22"/>
        <v/>
      </c>
      <c r="AD114" s="29" t="str">
        <f t="shared" si="22"/>
        <v/>
      </c>
      <c r="AE114" s="28">
        <f t="shared" si="22"/>
        <v>53</v>
      </c>
      <c r="AF114" s="28" t="str">
        <f t="shared" si="22"/>
        <v/>
      </c>
      <c r="AG114" s="28" t="str">
        <f t="shared" si="22"/>
        <v/>
      </c>
      <c r="AH114" s="28" t="str">
        <f t="shared" si="22"/>
        <v/>
      </c>
      <c r="AI114" s="29" t="str">
        <f>IF(WEEKDAY(AI$3)=2,_xlfn.ISOWEEKNUM(AI$3),"")</f>
        <v/>
      </c>
      <c r="AJ114" s="29" t="str">
        <f t="shared" si="22"/>
        <v/>
      </c>
      <c r="AK114" s="29" t="str">
        <f t="shared" si="22"/>
        <v/>
      </c>
      <c r="AL114" s="28">
        <f t="shared" si="22"/>
        <v>1</v>
      </c>
      <c r="AM114" s="28" t="str">
        <f t="shared" si="22"/>
        <v/>
      </c>
      <c r="AN114" s="28" t="str">
        <f t="shared" si="22"/>
        <v/>
      </c>
      <c r="AO114" s="28" t="str">
        <f t="shared" si="22"/>
        <v/>
      </c>
      <c r="AP114" s="28" t="str">
        <f t="shared" si="22"/>
        <v/>
      </c>
      <c r="AQ114" s="29" t="str">
        <f t="shared" si="22"/>
        <v/>
      </c>
      <c r="AR114" s="29" t="str">
        <f t="shared" si="22"/>
        <v/>
      </c>
      <c r="AS114" s="28">
        <f t="shared" si="22"/>
        <v>2</v>
      </c>
      <c r="AT114" s="28" t="str">
        <f t="shared" si="22"/>
        <v/>
      </c>
      <c r="AU114" s="28" t="str">
        <f t="shared" si="22"/>
        <v/>
      </c>
      <c r="AV114" s="28" t="str">
        <f t="shared" si="22"/>
        <v/>
      </c>
      <c r="AW114" s="28" t="str">
        <f t="shared" si="22"/>
        <v/>
      </c>
      <c r="AX114" s="29" t="str">
        <f t="shared" si="22"/>
        <v/>
      </c>
      <c r="AY114" s="29" t="str">
        <f t="shared" si="22"/>
        <v/>
      </c>
      <c r="AZ114" s="28">
        <f t="shared" si="22"/>
        <v>3</v>
      </c>
      <c r="BA114" s="28" t="str">
        <f t="shared" si="22"/>
        <v/>
      </c>
      <c r="BB114" s="28" t="str">
        <f t="shared" si="22"/>
        <v/>
      </c>
      <c r="BC114" s="28" t="str">
        <f t="shared" si="22"/>
        <v/>
      </c>
      <c r="BD114" s="28" t="str">
        <f t="shared" si="22"/>
        <v/>
      </c>
      <c r="BE114" s="29" t="str">
        <f t="shared" si="22"/>
        <v/>
      </c>
      <c r="BF114" s="29" t="str">
        <f t="shared" si="22"/>
        <v/>
      </c>
      <c r="BG114" s="28">
        <f t="shared" si="22"/>
        <v>4</v>
      </c>
      <c r="BH114" s="28" t="str">
        <f t="shared" si="22"/>
        <v/>
      </c>
      <c r="BI114" s="28" t="str">
        <f t="shared" si="22"/>
        <v/>
      </c>
      <c r="BJ114" s="28" t="str">
        <f t="shared" si="22"/>
        <v/>
      </c>
      <c r="BK114" s="28" t="str">
        <f t="shared" si="22"/>
        <v/>
      </c>
      <c r="BL114" s="29" t="str">
        <f t="shared" si="22"/>
        <v/>
      </c>
      <c r="BM114" s="33" t="str">
        <f t="shared" si="22"/>
        <v/>
      </c>
      <c r="BN114" s="28">
        <f>IF(WEEKDAY(BN$3)=2,_xlfn.ISOWEEKNUM(BN$3),"")</f>
        <v>5</v>
      </c>
      <c r="BO114" s="28" t="str">
        <f t="shared" si="22"/>
        <v/>
      </c>
      <c r="BP114" s="28" t="str">
        <f t="shared" si="22"/>
        <v/>
      </c>
      <c r="BQ114" s="28" t="str">
        <f t="shared" ref="BQ114:CR114" si="23">IF(WEEKDAY(BQ$3)=2,_xlfn.ISOWEEKNUM(BQ$3),"")</f>
        <v/>
      </c>
      <c r="BR114" s="28" t="str">
        <f t="shared" si="23"/>
        <v/>
      </c>
      <c r="BS114" s="29" t="str">
        <f t="shared" si="23"/>
        <v/>
      </c>
      <c r="BT114" s="29" t="str">
        <f t="shared" si="23"/>
        <v/>
      </c>
      <c r="BU114" s="28">
        <f t="shared" si="23"/>
        <v>6</v>
      </c>
      <c r="BV114" s="28" t="str">
        <f t="shared" si="23"/>
        <v/>
      </c>
      <c r="BW114" s="28" t="str">
        <f t="shared" si="23"/>
        <v/>
      </c>
      <c r="BX114" s="28" t="str">
        <f t="shared" si="23"/>
        <v/>
      </c>
      <c r="BY114" s="28" t="str">
        <f t="shared" si="23"/>
        <v/>
      </c>
      <c r="BZ114" s="29" t="str">
        <f t="shared" si="23"/>
        <v/>
      </c>
      <c r="CA114" s="29" t="str">
        <f t="shared" si="23"/>
        <v/>
      </c>
      <c r="CB114" s="28">
        <f t="shared" si="23"/>
        <v>7</v>
      </c>
      <c r="CC114" s="28" t="str">
        <f t="shared" si="23"/>
        <v/>
      </c>
      <c r="CD114" s="28" t="str">
        <f t="shared" si="23"/>
        <v/>
      </c>
      <c r="CE114" s="28" t="str">
        <f t="shared" si="23"/>
        <v/>
      </c>
      <c r="CF114" s="28" t="str">
        <f t="shared" si="23"/>
        <v/>
      </c>
      <c r="CG114" s="29" t="str">
        <f t="shared" si="23"/>
        <v/>
      </c>
      <c r="CH114" s="29" t="str">
        <f t="shared" si="23"/>
        <v/>
      </c>
      <c r="CI114" s="28">
        <f t="shared" si="23"/>
        <v>8</v>
      </c>
      <c r="CJ114" s="28" t="str">
        <f t="shared" si="23"/>
        <v/>
      </c>
      <c r="CK114" s="28" t="str">
        <f t="shared" si="23"/>
        <v/>
      </c>
      <c r="CL114" s="28" t="str">
        <f t="shared" si="23"/>
        <v/>
      </c>
      <c r="CM114" s="28" t="str">
        <f t="shared" si="23"/>
        <v/>
      </c>
      <c r="CN114" s="29" t="str">
        <f t="shared" si="23"/>
        <v/>
      </c>
      <c r="CO114" s="29" t="str">
        <f t="shared" si="23"/>
        <v/>
      </c>
      <c r="CP114" s="28" t="str">
        <f t="shared" si="23"/>
        <v/>
      </c>
      <c r="CQ114" s="28" t="str">
        <f t="shared" si="23"/>
        <v/>
      </c>
      <c r="CR114" s="28" t="str">
        <f t="shared" si="23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34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34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34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34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34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34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34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34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34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24">IF(WEEKDAY(E$3)=2,_xlfn.ISOWEEKNUM(E$3),"")</f>
        <v/>
      </c>
      <c r="F124" s="28" t="str">
        <f t="shared" si="24"/>
        <v/>
      </c>
      <c r="G124" s="28" t="str">
        <f t="shared" si="24"/>
        <v/>
      </c>
      <c r="H124" s="29" t="str">
        <f t="shared" si="24"/>
        <v/>
      </c>
      <c r="I124" s="29" t="str">
        <f t="shared" si="24"/>
        <v/>
      </c>
      <c r="J124" s="28">
        <f t="shared" si="24"/>
        <v>50</v>
      </c>
      <c r="K124" s="28" t="str">
        <f t="shared" si="24"/>
        <v/>
      </c>
      <c r="L124" s="28" t="str">
        <f t="shared" si="24"/>
        <v/>
      </c>
      <c r="M124" s="28" t="str">
        <f t="shared" si="24"/>
        <v/>
      </c>
      <c r="N124" s="28" t="str">
        <f t="shared" si="24"/>
        <v/>
      </c>
      <c r="O124" s="29" t="str">
        <f t="shared" si="24"/>
        <v/>
      </c>
      <c r="P124" s="29" t="str">
        <f t="shared" si="24"/>
        <v/>
      </c>
      <c r="Q124" s="28">
        <f t="shared" si="24"/>
        <v>51</v>
      </c>
      <c r="R124" s="28" t="str">
        <f t="shared" si="24"/>
        <v/>
      </c>
      <c r="S124" s="28" t="str">
        <f t="shared" si="24"/>
        <v/>
      </c>
      <c r="T124" s="28" t="str">
        <f t="shared" si="24"/>
        <v/>
      </c>
      <c r="U124" s="28" t="str">
        <f t="shared" si="24"/>
        <v/>
      </c>
      <c r="V124" s="29" t="str">
        <f t="shared" si="24"/>
        <v/>
      </c>
      <c r="W124" s="29" t="str">
        <f t="shared" si="24"/>
        <v/>
      </c>
      <c r="X124" s="28">
        <f t="shared" si="24"/>
        <v>52</v>
      </c>
      <c r="Y124" s="28" t="str">
        <f t="shared" si="24"/>
        <v/>
      </c>
      <c r="Z124" s="28" t="str">
        <f t="shared" si="24"/>
        <v/>
      </c>
      <c r="AA124" s="28" t="str">
        <f t="shared" si="24"/>
        <v/>
      </c>
      <c r="AB124" s="29" t="str">
        <f t="shared" si="24"/>
        <v/>
      </c>
      <c r="AC124" s="29" t="str">
        <f t="shared" si="24"/>
        <v/>
      </c>
      <c r="AD124" s="29" t="str">
        <f t="shared" si="24"/>
        <v/>
      </c>
      <c r="AE124" s="28">
        <f t="shared" si="24"/>
        <v>53</v>
      </c>
      <c r="AF124" s="28" t="str">
        <f t="shared" si="24"/>
        <v/>
      </c>
      <c r="AG124" s="28" t="str">
        <f t="shared" si="24"/>
        <v/>
      </c>
      <c r="AH124" s="28" t="str">
        <f t="shared" si="24"/>
        <v/>
      </c>
      <c r="AI124" s="29" t="str">
        <f>IF(WEEKDAY(AI$3)=2,_xlfn.ISOWEEKNUM(AI$3),"")</f>
        <v/>
      </c>
      <c r="AJ124" s="29" t="str">
        <f t="shared" si="24"/>
        <v/>
      </c>
      <c r="AK124" s="29" t="str">
        <f t="shared" si="24"/>
        <v/>
      </c>
      <c r="AL124" s="28">
        <f t="shared" si="24"/>
        <v>1</v>
      </c>
      <c r="AM124" s="28" t="str">
        <f t="shared" si="24"/>
        <v/>
      </c>
      <c r="AN124" s="28" t="str">
        <f t="shared" si="24"/>
        <v/>
      </c>
      <c r="AO124" s="28" t="str">
        <f t="shared" si="24"/>
        <v/>
      </c>
      <c r="AP124" s="28" t="str">
        <f t="shared" si="24"/>
        <v/>
      </c>
      <c r="AQ124" s="29" t="str">
        <f t="shared" si="24"/>
        <v/>
      </c>
      <c r="AR124" s="29" t="str">
        <f t="shared" si="24"/>
        <v/>
      </c>
      <c r="AS124" s="28">
        <f t="shared" si="24"/>
        <v>2</v>
      </c>
      <c r="AT124" s="28" t="str">
        <f t="shared" si="24"/>
        <v/>
      </c>
      <c r="AU124" s="28" t="str">
        <f t="shared" si="24"/>
        <v/>
      </c>
      <c r="AV124" s="28" t="str">
        <f t="shared" si="24"/>
        <v/>
      </c>
      <c r="AW124" s="28" t="str">
        <f t="shared" si="24"/>
        <v/>
      </c>
      <c r="AX124" s="29" t="str">
        <f t="shared" si="24"/>
        <v/>
      </c>
      <c r="AY124" s="29" t="str">
        <f t="shared" si="24"/>
        <v/>
      </c>
      <c r="AZ124" s="28">
        <f t="shared" si="24"/>
        <v>3</v>
      </c>
      <c r="BA124" s="28" t="str">
        <f t="shared" si="24"/>
        <v/>
      </c>
      <c r="BB124" s="28" t="str">
        <f t="shared" si="24"/>
        <v/>
      </c>
      <c r="BC124" s="28" t="str">
        <f t="shared" si="24"/>
        <v/>
      </c>
      <c r="BD124" s="28" t="str">
        <f t="shared" si="24"/>
        <v/>
      </c>
      <c r="BE124" s="29" t="str">
        <f t="shared" si="24"/>
        <v/>
      </c>
      <c r="BF124" s="29" t="str">
        <f t="shared" si="24"/>
        <v/>
      </c>
      <c r="BG124" s="28">
        <f t="shared" si="24"/>
        <v>4</v>
      </c>
      <c r="BH124" s="28" t="str">
        <f t="shared" si="24"/>
        <v/>
      </c>
      <c r="BI124" s="28" t="str">
        <f t="shared" si="24"/>
        <v/>
      </c>
      <c r="BJ124" s="28" t="str">
        <f t="shared" si="24"/>
        <v/>
      </c>
      <c r="BK124" s="28" t="str">
        <f t="shared" si="24"/>
        <v/>
      </c>
      <c r="BL124" s="29" t="str">
        <f t="shared" si="24"/>
        <v/>
      </c>
      <c r="BM124" s="33" t="str">
        <f t="shared" si="24"/>
        <v/>
      </c>
      <c r="BN124" s="28">
        <f>IF(WEEKDAY(BN$3)=2,_xlfn.ISOWEEKNUM(BN$3),"")</f>
        <v>5</v>
      </c>
      <c r="BO124" s="28" t="str">
        <f t="shared" si="24"/>
        <v/>
      </c>
      <c r="BP124" s="28" t="str">
        <f t="shared" si="24"/>
        <v/>
      </c>
      <c r="BQ124" s="28" t="str">
        <f t="shared" ref="BQ124:CR124" si="25">IF(WEEKDAY(BQ$3)=2,_xlfn.ISOWEEKNUM(BQ$3),"")</f>
        <v/>
      </c>
      <c r="BR124" s="28" t="str">
        <f t="shared" si="25"/>
        <v/>
      </c>
      <c r="BS124" s="29" t="str">
        <f t="shared" si="25"/>
        <v/>
      </c>
      <c r="BT124" s="29" t="str">
        <f t="shared" si="25"/>
        <v/>
      </c>
      <c r="BU124" s="28">
        <f t="shared" si="25"/>
        <v>6</v>
      </c>
      <c r="BV124" s="28" t="str">
        <f t="shared" si="25"/>
        <v/>
      </c>
      <c r="BW124" s="28" t="str">
        <f t="shared" si="25"/>
        <v/>
      </c>
      <c r="BX124" s="28" t="str">
        <f t="shared" si="25"/>
        <v/>
      </c>
      <c r="BY124" s="28" t="str">
        <f t="shared" si="25"/>
        <v/>
      </c>
      <c r="BZ124" s="29" t="str">
        <f t="shared" si="25"/>
        <v/>
      </c>
      <c r="CA124" s="29" t="str">
        <f t="shared" si="25"/>
        <v/>
      </c>
      <c r="CB124" s="28">
        <f t="shared" si="25"/>
        <v>7</v>
      </c>
      <c r="CC124" s="28" t="str">
        <f t="shared" si="25"/>
        <v/>
      </c>
      <c r="CD124" s="28" t="str">
        <f t="shared" si="25"/>
        <v/>
      </c>
      <c r="CE124" s="28" t="str">
        <f t="shared" si="25"/>
        <v/>
      </c>
      <c r="CF124" s="28" t="str">
        <f t="shared" si="25"/>
        <v/>
      </c>
      <c r="CG124" s="29" t="str">
        <f t="shared" si="25"/>
        <v/>
      </c>
      <c r="CH124" s="29" t="str">
        <f t="shared" si="25"/>
        <v/>
      </c>
      <c r="CI124" s="28">
        <f t="shared" si="25"/>
        <v>8</v>
      </c>
      <c r="CJ124" s="28" t="str">
        <f t="shared" si="25"/>
        <v/>
      </c>
      <c r="CK124" s="28" t="str">
        <f t="shared" si="25"/>
        <v/>
      </c>
      <c r="CL124" s="28" t="str">
        <f t="shared" si="25"/>
        <v/>
      </c>
      <c r="CM124" s="28" t="str">
        <f t="shared" si="25"/>
        <v/>
      </c>
      <c r="CN124" s="29" t="str">
        <f t="shared" si="25"/>
        <v/>
      </c>
      <c r="CO124" s="29" t="str">
        <f t="shared" si="25"/>
        <v/>
      </c>
      <c r="CP124" s="28" t="str">
        <f t="shared" si="25"/>
        <v/>
      </c>
      <c r="CQ124" s="28" t="str">
        <f t="shared" si="25"/>
        <v/>
      </c>
      <c r="CR124" s="28" t="str">
        <f t="shared" si="25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34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Axel</cp:lastModifiedBy>
  <cp:lastPrinted>2020-12-09T12:47:45Z</cp:lastPrinted>
  <dcterms:created xsi:type="dcterms:W3CDTF">2015-05-13T13:15:15Z</dcterms:created>
  <dcterms:modified xsi:type="dcterms:W3CDTF">2021-01-31T18:27:33Z</dcterms:modified>
</cp:coreProperties>
</file>