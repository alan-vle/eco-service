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1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5B87C4F0-345C-4C7B-9ADE-064B35A37B2D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Data" sheetId="7" r:id="rId1"/>
    <sheet name="Planning" sheetId="6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7" l="1"/>
  <c r="H6" i="7"/>
  <c r="F5" i="7"/>
  <c r="F6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H10" i="7"/>
  <c r="H2" i="7"/>
  <c r="H7" i="7"/>
  <c r="F3" i="7"/>
  <c r="H8" i="7"/>
  <c r="F2" i="7"/>
  <c r="H5" i="7"/>
  <c r="F4" i="7"/>
  <c r="H3" i="7"/>
  <c r="H4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Axel</author>
  </authors>
  <commentList>
    <comment ref="AB3" authorId="0" shapeId="0" xr:uid="{F52AD1FC-EEAF-4118-BB96-9E5D6B87C5D8}">
      <text>
        <r>
          <rPr>
            <sz val="9"/>
            <color indexed="81"/>
            <rFont val="Tahoma"/>
            <family val="2"/>
          </rPr>
          <t>Noël</t>
        </r>
      </text>
    </comment>
  </commentList>
</comments>
</file>

<file path=xl/sharedStrings.xml><?xml version="1.0" encoding="utf-8"?>
<sst xmlns="http://schemas.openxmlformats.org/spreadsheetml/2006/main" count="34" uniqueCount="20">
  <si>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</si>
  <si>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</si>
  <si>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</si>
  <si>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</si>
  <si>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</si>
  <si>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</si>
  <si>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</si>
  <si>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</si>
  <si>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</si>
  <si>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</si>
  <si>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Axel / Alan</t>
  </si>
  <si>
    <t>Affichage panier</t>
  </si>
  <si>
    <t>Ajout au panier</t>
  </si>
  <si>
    <t>Affichage produit</t>
  </si>
  <si>
    <t>Connexion</t>
  </si>
  <si>
    <t>Inscription</t>
  </si>
  <si>
    <t>Sauvegarde panier dans une variable de session</t>
  </si>
  <si>
    <t>Axel</t>
  </si>
  <si>
    <t>Mise a jour du panier</t>
  </si>
  <si>
    <t>MCD - 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</si>
</sst>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  <xf numFmtId="9" fontId="0" fillId="0" borderId="9" xfId="3" applyFont="1" applyBorder="1" applyAlignment="1" applyProtection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670560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678180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160020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25400</xdr:colOff>
      <xdr:row>3</xdr:row>
      <xdr:rowOff>25400</xdr:rowOff>
    </xdr:from>
    <xdr:to>
      <xdr:col>13</xdr:col>
      <xdr:colOff>180340</xdr:colOff>
      <xdr:row>3</xdr:row>
      <xdr:rowOff>264160</xdr:rowOff>
    </xdr:to>
    <xdr:sp macro="Fiche" textlink="">
      <xdr:nvSpPr>
        <xdr:cNvPr id="2824" name="_4|2|44174|44176">
          <a:extLst>
            <a:ext uri="{FF2B5EF4-FFF2-40B4-BE49-F238E27FC236}">
              <a16:creationId xmlns:a16="http://schemas.microsoft.com/office/drawing/2014/main" id="{9E773F07-ACD6-4934-BBD9-3F6CC30458E7}"/>
            </a:ext>
          </a:extLst>
        </xdr:cNvPr>
        <xdr:cNvSpPr/>
      </xdr:nvSpPr>
      <xdr:spPr>
        <a:xfrm>
          <a:off x="3660140" y="1214120"/>
          <a:ext cx="56642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Axel / Alan</a:t>
          </a:r>
        </a:p>
      </xdr:txBody>
    </xdr:sp>
    <xdr:clientData/>
  </xdr:twoCellAnchor>
  <xdr:twoCellAnchor>
    <xdr:from>
      <xdr:col>11</xdr:col>
      <xdr:colOff>50800</xdr:colOff>
      <xdr:row>3</xdr:row>
      <xdr:rowOff>213360</xdr:rowOff>
    </xdr:from>
    <xdr:to>
      <xdr:col>12</xdr:col>
      <xdr:colOff>180340</xdr:colOff>
      <xdr:row>3</xdr:row>
      <xdr:rowOff>251460</xdr:rowOff>
    </xdr:to>
    <xdr:sp macro="Fiche" textlink="">
      <xdr:nvSpPr>
        <xdr:cNvPr id="2825" name="__Connexion">
          <a:extLst>
            <a:ext uri="{FF2B5EF4-FFF2-40B4-BE49-F238E27FC236}">
              <a16:creationId xmlns:a16="http://schemas.microsoft.com/office/drawing/2014/main" id="{B2CF2341-252B-4FBE-BAB3-57093A182F5E}"/>
            </a:ext>
          </a:extLst>
        </xdr:cNvPr>
        <xdr:cNvSpPr/>
      </xdr:nvSpPr>
      <xdr:spPr>
        <a:xfrm>
          <a:off x="3685540" y="1402080"/>
          <a:ext cx="33528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25400</xdr:colOff>
      <xdr:row>4</xdr:row>
      <xdr:rowOff>25400</xdr:rowOff>
    </xdr:from>
    <xdr:to>
      <xdr:col>13</xdr:col>
      <xdr:colOff>180340</xdr:colOff>
      <xdr:row>4</xdr:row>
      <xdr:rowOff>264160</xdr:rowOff>
    </xdr:to>
    <xdr:sp macro="Fiche" textlink="">
      <xdr:nvSpPr>
        <xdr:cNvPr id="2827" name="_5|1|44174|44176">
          <a:extLst>
            <a:ext uri="{FF2B5EF4-FFF2-40B4-BE49-F238E27FC236}">
              <a16:creationId xmlns:a16="http://schemas.microsoft.com/office/drawing/2014/main" id="{3896BD02-04F7-4D8F-A952-E95142FE8B8F}"/>
            </a:ext>
          </a:extLst>
        </xdr:cNvPr>
        <xdr:cNvSpPr/>
      </xdr:nvSpPr>
      <xdr:spPr>
        <a:xfrm>
          <a:off x="3660140" y="1503680"/>
          <a:ext cx="56642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Axel / Alan</a:t>
          </a:r>
        </a:p>
      </xdr:txBody>
    </xdr:sp>
    <xdr:clientData/>
  </xdr:twoCellAnchor>
  <xdr:twoCellAnchor>
    <xdr:from>
      <xdr:col>11</xdr:col>
      <xdr:colOff>50800</xdr:colOff>
      <xdr:row>4</xdr:row>
      <xdr:rowOff>213360</xdr:rowOff>
    </xdr:from>
    <xdr:to>
      <xdr:col>12</xdr:col>
      <xdr:colOff>180340</xdr:colOff>
      <xdr:row>4</xdr:row>
      <xdr:rowOff>251460</xdr:rowOff>
    </xdr:to>
    <xdr:sp macro="Fiche" textlink="">
      <xdr:nvSpPr>
        <xdr:cNvPr id="2828" name="__Inscription">
          <a:extLst>
            <a:ext uri="{FF2B5EF4-FFF2-40B4-BE49-F238E27FC236}">
              <a16:creationId xmlns:a16="http://schemas.microsoft.com/office/drawing/2014/main" id="{EBAA84BD-6B20-4F99-9680-E685BE12157A}"/>
            </a:ext>
          </a:extLst>
        </xdr:cNvPr>
        <xdr:cNvSpPr/>
      </xdr:nvSpPr>
      <xdr:spPr>
        <a:xfrm>
          <a:off x="3685540" y="1691640"/>
          <a:ext cx="33528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25400</xdr:colOff>
      <xdr:row>5</xdr:row>
      <xdr:rowOff>25400</xdr:rowOff>
    </xdr:from>
    <xdr:to>
      <xdr:col>18</xdr:col>
      <xdr:colOff>180340</xdr:colOff>
      <xdr:row>5</xdr:row>
      <xdr:rowOff>264160</xdr:rowOff>
    </xdr:to>
    <xdr:sp macro="Fiche" textlink="">
      <xdr:nvSpPr>
        <xdr:cNvPr id="2829" name="_6|3|44176|44181">
          <a:extLst>
            <a:ext uri="{FF2B5EF4-FFF2-40B4-BE49-F238E27FC236}">
              <a16:creationId xmlns:a16="http://schemas.microsoft.com/office/drawing/2014/main" id="{44250DDA-F7E9-4A34-B6AC-AAFC3C9246AF}"/>
            </a:ext>
          </a:extLst>
        </xdr:cNvPr>
        <xdr:cNvSpPr/>
      </xdr:nvSpPr>
      <xdr:spPr>
        <a:xfrm>
          <a:off x="4071620" y="1793240"/>
          <a:ext cx="1183640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Axel / Alan</a:t>
          </a:r>
        </a:p>
      </xdr:txBody>
    </xdr:sp>
    <xdr:clientData/>
  </xdr:twoCellAnchor>
  <xdr:twoCellAnchor>
    <xdr:from>
      <xdr:col>13</xdr:col>
      <xdr:colOff>50800</xdr:colOff>
      <xdr:row>5</xdr:row>
      <xdr:rowOff>213360</xdr:rowOff>
    </xdr:from>
    <xdr:to>
      <xdr:col>17</xdr:col>
      <xdr:colOff>180340</xdr:colOff>
      <xdr:row>5</xdr:row>
      <xdr:rowOff>251460</xdr:rowOff>
    </xdr:to>
    <xdr:sp macro="Fiche" textlink="">
      <xdr:nvSpPr>
        <xdr:cNvPr id="2830" name="__Affichage produit">
          <a:extLst>
            <a:ext uri="{FF2B5EF4-FFF2-40B4-BE49-F238E27FC236}">
              <a16:creationId xmlns:a16="http://schemas.microsoft.com/office/drawing/2014/main" id="{879E9719-0BA6-4449-AC2E-D22E53899E3D}"/>
            </a:ext>
          </a:extLst>
        </xdr:cNvPr>
        <xdr:cNvSpPr/>
      </xdr:nvSpPr>
      <xdr:spPr>
        <a:xfrm>
          <a:off x="4097020" y="1981200"/>
          <a:ext cx="95250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25400</xdr:colOff>
      <xdr:row>6</xdr:row>
      <xdr:rowOff>25400</xdr:rowOff>
    </xdr:from>
    <xdr:to>
      <xdr:col>20</xdr:col>
      <xdr:colOff>180340</xdr:colOff>
      <xdr:row>6</xdr:row>
      <xdr:rowOff>264160</xdr:rowOff>
    </xdr:to>
    <xdr:sp macro="Fiche" textlink="">
      <xdr:nvSpPr>
        <xdr:cNvPr id="2831" name="_7|5|44177|44183">
          <a:extLst>
            <a:ext uri="{FF2B5EF4-FFF2-40B4-BE49-F238E27FC236}">
              <a16:creationId xmlns:a16="http://schemas.microsoft.com/office/drawing/2014/main" id="{75965ABD-9AD4-4943-962D-E3E9900FF852}"/>
            </a:ext>
          </a:extLst>
        </xdr:cNvPr>
        <xdr:cNvSpPr/>
      </xdr:nvSpPr>
      <xdr:spPr>
        <a:xfrm>
          <a:off x="4277360" y="2082800"/>
          <a:ext cx="138938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5 Axel / Alan</a:t>
          </a:r>
        </a:p>
      </xdr:txBody>
    </xdr:sp>
    <xdr:clientData/>
  </xdr:twoCellAnchor>
  <xdr:twoCellAnchor>
    <xdr:from>
      <xdr:col>14</xdr:col>
      <xdr:colOff>50800</xdr:colOff>
      <xdr:row>6</xdr:row>
      <xdr:rowOff>213360</xdr:rowOff>
    </xdr:from>
    <xdr:to>
      <xdr:col>18</xdr:col>
      <xdr:colOff>180340</xdr:colOff>
      <xdr:row>6</xdr:row>
      <xdr:rowOff>251460</xdr:rowOff>
    </xdr:to>
    <xdr:sp macro="Fiche" textlink="">
      <xdr:nvSpPr>
        <xdr:cNvPr id="2832" name="__Affichage panier">
          <a:extLst>
            <a:ext uri="{FF2B5EF4-FFF2-40B4-BE49-F238E27FC236}">
              <a16:creationId xmlns:a16="http://schemas.microsoft.com/office/drawing/2014/main" id="{BA7735C9-D410-4745-AE75-9225960F9359}"/>
            </a:ext>
          </a:extLst>
        </xdr:cNvPr>
        <xdr:cNvSpPr/>
      </xdr:nvSpPr>
      <xdr:spPr>
        <a:xfrm>
          <a:off x="4302760" y="2270760"/>
          <a:ext cx="95250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25400</xdr:colOff>
      <xdr:row>7</xdr:row>
      <xdr:rowOff>25400</xdr:rowOff>
    </xdr:from>
    <xdr:to>
      <xdr:col>20</xdr:col>
      <xdr:colOff>180340</xdr:colOff>
      <xdr:row>7</xdr:row>
      <xdr:rowOff>264160</xdr:rowOff>
    </xdr:to>
    <xdr:sp macro="Fiche" textlink="">
      <xdr:nvSpPr>
        <xdr:cNvPr id="2833" name="_8|3|44177|44183">
          <a:extLst>
            <a:ext uri="{FF2B5EF4-FFF2-40B4-BE49-F238E27FC236}">
              <a16:creationId xmlns:a16="http://schemas.microsoft.com/office/drawing/2014/main" id="{672DCF5C-6077-4936-A1C0-321B1405885D}"/>
            </a:ext>
          </a:extLst>
        </xdr:cNvPr>
        <xdr:cNvSpPr/>
      </xdr:nvSpPr>
      <xdr:spPr>
        <a:xfrm>
          <a:off x="4277360" y="2372360"/>
          <a:ext cx="1389380" cy="238760"/>
        </a:xfrm>
        <a:prstGeom prst="roundRect">
          <a:avLst/>
        </a:prstGeom>
        <a:solidFill>
          <a:srgbClr val="7030A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Axel / Alan</a:t>
          </a:r>
        </a:p>
      </xdr:txBody>
    </xdr:sp>
    <xdr:clientData/>
  </xdr:twoCellAnchor>
  <xdr:twoCellAnchor>
    <xdr:from>
      <xdr:col>14</xdr:col>
      <xdr:colOff>50800</xdr:colOff>
      <xdr:row>7</xdr:row>
      <xdr:rowOff>213360</xdr:rowOff>
    </xdr:from>
    <xdr:to>
      <xdr:col>19</xdr:col>
      <xdr:colOff>180340</xdr:colOff>
      <xdr:row>7</xdr:row>
      <xdr:rowOff>251460</xdr:rowOff>
    </xdr:to>
    <xdr:sp macro="Fiche" textlink="">
      <xdr:nvSpPr>
        <xdr:cNvPr id="2834" name="__Ajout au panier">
          <a:extLst>
            <a:ext uri="{FF2B5EF4-FFF2-40B4-BE49-F238E27FC236}">
              <a16:creationId xmlns:a16="http://schemas.microsoft.com/office/drawing/2014/main" id="{15AFA291-5FBA-47E8-8B4A-DD47F2A709A5}"/>
            </a:ext>
          </a:extLst>
        </xdr:cNvPr>
        <xdr:cNvSpPr/>
      </xdr:nvSpPr>
      <xdr:spPr>
        <a:xfrm>
          <a:off x="4302760" y="2560320"/>
          <a:ext cx="11582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25400</xdr:colOff>
      <xdr:row>8</xdr:row>
      <xdr:rowOff>25400</xdr:rowOff>
    </xdr:from>
    <xdr:to>
      <xdr:col>21</xdr:col>
      <xdr:colOff>180340</xdr:colOff>
      <xdr:row>8</xdr:row>
      <xdr:rowOff>264160</xdr:rowOff>
    </xdr:to>
    <xdr:sp macro="Fiche" textlink="">
      <xdr:nvSpPr>
        <xdr:cNvPr id="2835" name="_9|6|44181|44184">
          <a:extLst>
            <a:ext uri="{FF2B5EF4-FFF2-40B4-BE49-F238E27FC236}">
              <a16:creationId xmlns:a16="http://schemas.microsoft.com/office/drawing/2014/main" id="{F5545CFE-0460-40CE-AA26-5DBD991EFCA9}"/>
            </a:ext>
          </a:extLst>
        </xdr:cNvPr>
        <xdr:cNvSpPr/>
      </xdr:nvSpPr>
      <xdr:spPr>
        <a:xfrm>
          <a:off x="5100320" y="2661920"/>
          <a:ext cx="77216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6 Axel</a:t>
          </a:r>
        </a:p>
      </xdr:txBody>
    </xdr:sp>
    <xdr:clientData/>
  </xdr:twoCellAnchor>
  <xdr:twoCellAnchor>
    <xdr:from>
      <xdr:col>18</xdr:col>
      <xdr:colOff>50800</xdr:colOff>
      <xdr:row>8</xdr:row>
      <xdr:rowOff>213360</xdr:rowOff>
    </xdr:from>
    <xdr:to>
      <xdr:col>20</xdr:col>
      <xdr:colOff>180340</xdr:colOff>
      <xdr:row>8</xdr:row>
      <xdr:rowOff>251460</xdr:rowOff>
    </xdr:to>
    <xdr:sp macro="Fiche" textlink="">
      <xdr:nvSpPr>
        <xdr:cNvPr id="2836" name="__Sauvegarde panier dans une variable de session">
          <a:extLst>
            <a:ext uri="{FF2B5EF4-FFF2-40B4-BE49-F238E27FC236}">
              <a16:creationId xmlns:a16="http://schemas.microsoft.com/office/drawing/2014/main" id="{01660317-5D5A-44C8-ABEC-43650961BE2B}"/>
            </a:ext>
          </a:extLst>
        </xdr:cNvPr>
        <xdr:cNvSpPr/>
      </xdr:nvSpPr>
      <xdr:spPr>
        <a:xfrm>
          <a:off x="5125720" y="2849880"/>
          <a:ext cx="54102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25400</xdr:colOff>
      <xdr:row>9</xdr:row>
      <xdr:rowOff>25400</xdr:rowOff>
    </xdr:from>
    <xdr:to>
      <xdr:col>20</xdr:col>
      <xdr:colOff>180340</xdr:colOff>
      <xdr:row>9</xdr:row>
      <xdr:rowOff>264160</xdr:rowOff>
    </xdr:to>
    <xdr:sp macro="Fiche" textlink="">
      <xdr:nvSpPr>
        <xdr:cNvPr id="2837" name="_10|8|44182|44183">
          <a:extLst>
            <a:ext uri="{FF2B5EF4-FFF2-40B4-BE49-F238E27FC236}">
              <a16:creationId xmlns:a16="http://schemas.microsoft.com/office/drawing/2014/main" id="{A102DD46-71B7-430A-B62C-268B7BBA7C5F}"/>
            </a:ext>
          </a:extLst>
        </xdr:cNvPr>
        <xdr:cNvSpPr/>
      </xdr:nvSpPr>
      <xdr:spPr>
        <a:xfrm>
          <a:off x="5306060" y="2951480"/>
          <a:ext cx="36068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8 Axel / Alan</a:t>
          </a:r>
        </a:p>
      </xdr:txBody>
    </xdr:sp>
    <xdr:clientData/>
  </xdr:twoCellAnchor>
  <xdr:twoCellAnchor>
    <xdr:from>
      <xdr:col>19</xdr:col>
      <xdr:colOff>50800</xdr:colOff>
      <xdr:row>9</xdr:row>
      <xdr:rowOff>213360</xdr:rowOff>
    </xdr:from>
    <xdr:to>
      <xdr:col>20</xdr:col>
      <xdr:colOff>180340</xdr:colOff>
      <xdr:row>9</xdr:row>
      <xdr:rowOff>251460</xdr:rowOff>
    </xdr:to>
    <xdr:sp macro="Fiche" textlink="">
      <xdr:nvSpPr>
        <xdr:cNvPr id="2838" name="__MCD - MLD">
          <a:extLst>
            <a:ext uri="{FF2B5EF4-FFF2-40B4-BE49-F238E27FC236}">
              <a16:creationId xmlns:a16="http://schemas.microsoft.com/office/drawing/2014/main" id="{EB72090E-8CBA-4B5E-ACE7-AFC79B5EDECB}"/>
            </a:ext>
          </a:extLst>
        </xdr:cNvPr>
        <xdr:cNvSpPr/>
      </xdr:nvSpPr>
      <xdr:spPr>
        <a:xfrm>
          <a:off x="5331460" y="3139440"/>
          <a:ext cx="33528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23</xdr:col>
      <xdr:colOff>25400</xdr:colOff>
      <xdr:row>10</xdr:row>
      <xdr:rowOff>25400</xdr:rowOff>
    </xdr:from>
    <xdr:to>
      <xdr:col>25</xdr:col>
      <xdr:colOff>180340</xdr:colOff>
      <xdr:row>10</xdr:row>
      <xdr:rowOff>264160</xdr:rowOff>
    </xdr:to>
    <xdr:sp macro="Fiche" textlink="">
      <xdr:nvSpPr>
        <xdr:cNvPr id="2839" name="_11|7|44186|44188">
          <a:extLst>
            <a:ext uri="{FF2B5EF4-FFF2-40B4-BE49-F238E27FC236}">
              <a16:creationId xmlns:a16="http://schemas.microsoft.com/office/drawing/2014/main" id="{C8AA4530-4E6F-4BD7-BF0F-4EC5933A00C5}"/>
            </a:ext>
          </a:extLst>
        </xdr:cNvPr>
        <xdr:cNvSpPr/>
      </xdr:nvSpPr>
      <xdr:spPr>
        <a:xfrm>
          <a:off x="6129020" y="3241040"/>
          <a:ext cx="566420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7 Axel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zoomScale="146" zoomScaleNormal="146" workbookViewId="0">
      <selection activeCell="H8" sqref="H8"/>
    </sheetView>
  </sheetViews>
  <sheetFormatPr baseColWidth="10" defaultRowHeight="14.4" x14ac:dyDescent="0.3"/>
  <cols>
    <col min="1" max="1" width="6.5546875" customWidth="1"/>
    <col min="2" max="2" width="40.5546875" style="10" bestFit="1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36" t="s">
        <v>15</v>
      </c>
      <c r="C2" s="37" t="s">
        <v>10</v>
      </c>
      <c r="D2" s="38">
        <v>44174</v>
      </c>
      <c r="E2" s="35">
        <v>3</v>
      </c>
      <c r="F2" s="39">
        <f t="shared" ref="F2:F4" si="0">WORKDAY(D2,E2-1,tferies(YEAR(D2)))</f>
        <v>44176</v>
      </c>
      <c r="G2" s="40">
        <v>0.9</v>
      </c>
      <c r="H2" s="47">
        <f t="shared" ref="H2:H9" si="1">IF(G2&gt;0,WORKDAY(D2,(E2*G2)-1,tferies(YEAR(D2))),"")</f>
        <v>44175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14</v>
      </c>
      <c r="C3" s="37" t="s">
        <v>10</v>
      </c>
      <c r="D3" s="38">
        <v>44174</v>
      </c>
      <c r="E3" s="35">
        <v>3</v>
      </c>
      <c r="F3" s="39">
        <f t="shared" si="0"/>
        <v>44176</v>
      </c>
      <c r="G3" s="40">
        <v>0.9</v>
      </c>
      <c r="H3" s="47">
        <f t="shared" si="1"/>
        <v>44175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13</v>
      </c>
      <c r="C4" s="37" t="s">
        <v>10</v>
      </c>
      <c r="D4" s="38">
        <v>44176</v>
      </c>
      <c r="E4" s="35">
        <v>4</v>
      </c>
      <c r="F4" s="39">
        <f t="shared" si="0"/>
        <v>44181</v>
      </c>
      <c r="G4" s="40">
        <v>0.8</v>
      </c>
      <c r="H4" s="47">
        <f t="shared" si="1"/>
        <v>44180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12</v>
      </c>
      <c r="C5" s="37" t="s">
        <v>10</v>
      </c>
      <c r="D5" s="38">
        <v>44177</v>
      </c>
      <c r="E5" s="35">
        <v>6</v>
      </c>
      <c r="F5" s="39">
        <f>WORKDAY(D5,E5-1,tferies(YEAR(D5)))</f>
        <v>44183</v>
      </c>
      <c r="G5" s="40">
        <v>0.9</v>
      </c>
      <c r="H5" s="47">
        <f t="shared" si="1"/>
        <v>44182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 t="s">
        <v>11</v>
      </c>
      <c r="C6" s="37" t="s">
        <v>10</v>
      </c>
      <c r="D6" s="38">
        <v>44177</v>
      </c>
      <c r="E6" s="35">
        <v>6</v>
      </c>
      <c r="F6" s="39">
        <f>WORKDAY(D6,E6-1,tferies(YEAR(D6)))</f>
        <v>44183</v>
      </c>
      <c r="G6" s="40">
        <v>0.8</v>
      </c>
      <c r="H6" s="47">
        <f>IF(G6&gt;0,WORKDAY(D6,(E6*G6)-1,tferies(YEAR(D6))),"")</f>
        <v>44181</v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 t="s">
        <v>16</v>
      </c>
      <c r="C7" s="37" t="s">
        <v>17</v>
      </c>
      <c r="D7" s="38">
        <v>44181</v>
      </c>
      <c r="E7" s="35">
        <v>3</v>
      </c>
      <c r="F7" s="39">
        <v>44184</v>
      </c>
      <c r="G7" s="40">
        <v>1</v>
      </c>
      <c r="H7" s="47">
        <f t="shared" si="1"/>
        <v>44183</v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 t="s">
        <v>18</v>
      </c>
      <c r="C8" s="37" t="s">
        <v>17</v>
      </c>
      <c r="D8" s="38">
        <v>44186</v>
      </c>
      <c r="E8" s="35">
        <v>3</v>
      </c>
      <c r="F8" s="39">
        <v>44188</v>
      </c>
      <c r="G8" s="40">
        <v>0</v>
      </c>
      <c r="H8" s="47" t="str">
        <f t="shared" si="1"/>
        <v/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41" t="s">
        <v>19</v>
      </c>
      <c r="C9" s="41" t="s">
        <v>10</v>
      </c>
      <c r="D9" s="38">
        <v>44182</v>
      </c>
      <c r="E9" s="35">
        <v>2</v>
      </c>
      <c r="F9" s="39">
        <v>44183</v>
      </c>
      <c r="G9" s="55">
        <v>1</v>
      </c>
      <c r="H9" s="47">
        <f t="shared" ref="H9" si="2">IF(G9&gt;0,WORKDAY(D9,(E9*G9)-1,tferies(YEAR(D9))),"")</f>
        <v>44183</v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B10" s="36"/>
      <c r="C10" s="37"/>
      <c r="D10" s="38"/>
      <c r="E10" s="35"/>
      <c r="F10" s="39"/>
      <c r="G10" s="40"/>
      <c r="H10" s="47" t="str">
        <f t="shared" ref="H10" si="3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4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3">
      <c r="A13" s="46">
        <f t="shared" si="4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3">
      <c r="A14" s="46">
        <f t="shared" si="4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3">
      <c r="A15" s="46">
        <f t="shared" si="4"/>
        <v>14</v>
      </c>
      <c r="B15" s="42"/>
      <c r="C15" s="41"/>
      <c r="D15" s="41"/>
      <c r="E15" s="35"/>
      <c r="F15" s="41"/>
      <c r="G15" s="35"/>
      <c r="H15" s="49"/>
    </row>
    <row r="16" spans="1:34" x14ac:dyDescent="0.3">
      <c r="A16" s="46">
        <f t="shared" si="4"/>
        <v>15</v>
      </c>
      <c r="B16" s="42"/>
      <c r="C16" s="41"/>
      <c r="D16" s="42"/>
      <c r="E16" s="42"/>
      <c r="F16" s="42"/>
      <c r="G16" s="42"/>
      <c r="H16" s="49"/>
    </row>
    <row r="17" spans="1:32" x14ac:dyDescent="0.3">
      <c r="A17" s="46">
        <f t="shared" si="4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3">
      <c r="A18" s="46">
        <f t="shared" si="4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3">
      <c r="A19" s="46">
        <f t="shared" si="4"/>
        <v>18</v>
      </c>
      <c r="B19" s="42"/>
      <c r="C19" s="41"/>
      <c r="D19" s="41"/>
      <c r="E19" s="35"/>
      <c r="F19" s="41"/>
      <c r="G19" s="35"/>
      <c r="H19" s="49"/>
    </row>
    <row r="20" spans="1:32" x14ac:dyDescent="0.3">
      <c r="A20" s="46">
        <f t="shared" si="4"/>
        <v>19</v>
      </c>
      <c r="B20" s="42"/>
      <c r="C20" s="41"/>
      <c r="D20" s="41"/>
      <c r="E20" s="35"/>
      <c r="F20" s="41"/>
      <c r="G20" s="35"/>
      <c r="H20" s="49"/>
    </row>
    <row r="21" spans="1:32" x14ac:dyDescent="0.3">
      <c r="A21" s="46">
        <f t="shared" si="4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4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4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4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4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4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4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4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4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4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4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4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4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4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4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4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4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4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4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4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4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4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4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4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4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4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4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4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4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4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4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4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4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4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4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4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4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4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4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4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4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4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4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4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4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4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4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4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4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4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4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4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96" ht="42.6" customHeight="1" x14ac:dyDescent="0.3">
      <c r="A1" s="30">
        <v>1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96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</row>
    <row r="3" spans="1:96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17">
        <v>44174</v>
      </c>
      <c r="M3" s="17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32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</row>
    <row r="4" spans="1:96" s="1" customFormat="1" ht="22.95" customHeight="1" x14ac:dyDescent="0.3">
      <c r="A4" s="4"/>
      <c r="B4" s="15" t="s">
        <v>14</v>
      </c>
      <c r="C4" s="16"/>
      <c r="D4" s="28" t="str">
        <f>IF(WEEKDAY(D$3)=2,_xlfn.ISOWEEKNUM(D$3),"")</f>
        <v/>
      </c>
      <c r="E4" s="28" t="str">
        <f t="shared" ref="E4:AH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28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33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</row>
    <row r="5" spans="1:96" ht="22.95" customHeight="1" x14ac:dyDescent="0.3">
      <c r="A5" s="5"/>
      <c r="B5" s="15" t="s">
        <v>15</v>
      </c>
      <c r="C5" s="16"/>
      <c r="D5" s="3"/>
      <c r="E5" s="3"/>
      <c r="F5" s="3"/>
      <c r="G5" s="3"/>
      <c r="H5" s="27"/>
      <c r="I5" s="27"/>
      <c r="J5" s="3"/>
      <c r="K5" s="3"/>
      <c r="L5" s="3"/>
      <c r="M5" s="3"/>
      <c r="N5" s="3"/>
      <c r="O5" s="27"/>
      <c r="P5" s="27"/>
      <c r="Q5" s="3"/>
      <c r="R5" s="3"/>
      <c r="S5" s="3"/>
      <c r="T5" s="3"/>
      <c r="U5" s="3"/>
      <c r="V5" s="27"/>
      <c r="W5" s="34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</row>
    <row r="6" spans="1:96" ht="22.95" customHeight="1" x14ac:dyDescent="0.3">
      <c r="A6" s="6"/>
      <c r="B6" s="15" t="s">
        <v>13</v>
      </c>
      <c r="C6" s="16"/>
      <c r="D6" s="3"/>
      <c r="E6" s="3"/>
      <c r="F6" s="3"/>
      <c r="G6" s="3"/>
      <c r="H6" s="27"/>
      <c r="I6" s="27"/>
      <c r="J6" s="3"/>
      <c r="K6" s="3"/>
      <c r="L6" s="3"/>
      <c r="M6" s="3"/>
      <c r="N6" s="3"/>
      <c r="O6" s="27"/>
      <c r="P6" s="27"/>
      <c r="Q6" s="3"/>
      <c r="R6" s="3"/>
      <c r="S6" s="3"/>
      <c r="T6" s="3"/>
      <c r="U6" s="3"/>
      <c r="V6" s="27"/>
      <c r="W6" s="34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</row>
    <row r="7" spans="1:96" ht="22.95" customHeight="1" x14ac:dyDescent="0.3">
      <c r="A7" s="4"/>
      <c r="B7" s="15" t="s">
        <v>11</v>
      </c>
      <c r="C7" s="16"/>
      <c r="D7" s="3"/>
      <c r="E7" s="3"/>
      <c r="F7" s="3"/>
      <c r="G7" s="3"/>
      <c r="H7" s="27"/>
      <c r="I7" s="27"/>
      <c r="J7" s="3"/>
      <c r="K7" s="3"/>
      <c r="L7" s="3"/>
      <c r="M7" s="3"/>
      <c r="N7" s="3"/>
      <c r="O7" s="27"/>
      <c r="P7" s="27"/>
      <c r="Q7" s="3"/>
      <c r="R7" s="3"/>
      <c r="S7" s="3"/>
      <c r="T7" s="3"/>
      <c r="U7" s="3"/>
      <c r="V7" s="27"/>
      <c r="W7" s="34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</row>
    <row r="8" spans="1:96" ht="22.95" customHeight="1" x14ac:dyDescent="0.3">
      <c r="A8" s="8"/>
      <c r="B8" s="15" t="s">
        <v>12</v>
      </c>
      <c r="C8" s="16"/>
      <c r="D8" s="3"/>
      <c r="E8" s="3"/>
      <c r="F8" s="3"/>
      <c r="G8" s="3"/>
      <c r="H8" s="27"/>
      <c r="I8" s="27"/>
      <c r="J8" s="3"/>
      <c r="K8" s="3"/>
      <c r="L8" s="3"/>
      <c r="M8" s="3"/>
      <c r="N8" s="3"/>
      <c r="O8" s="27"/>
      <c r="P8" s="27"/>
      <c r="Q8" s="3"/>
      <c r="R8" s="3"/>
      <c r="S8" s="3"/>
      <c r="T8" s="3"/>
      <c r="U8" s="3"/>
      <c r="V8" s="27"/>
      <c r="W8" s="34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</row>
    <row r="9" spans="1:96" ht="22.95" customHeight="1" x14ac:dyDescent="0.3">
      <c r="A9" s="4"/>
      <c r="B9" s="15" t="s">
        <v>16</v>
      </c>
      <c r="C9" s="16"/>
      <c r="D9" s="3"/>
      <c r="E9" s="3"/>
      <c r="F9" s="3"/>
      <c r="G9" s="3"/>
      <c r="H9" s="27"/>
      <c r="I9" s="27"/>
      <c r="J9" s="3"/>
      <c r="K9" s="3"/>
      <c r="L9" s="3"/>
      <c r="M9" s="3"/>
      <c r="N9" s="3"/>
      <c r="O9" s="27"/>
      <c r="P9" s="27"/>
      <c r="Q9" s="3"/>
      <c r="R9" s="3"/>
      <c r="S9" s="3"/>
      <c r="T9" s="3"/>
      <c r="U9" s="3"/>
      <c r="V9" s="27"/>
      <c r="W9" s="34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</row>
    <row r="10" spans="1:96" ht="22.95" customHeight="1" x14ac:dyDescent="0.3">
      <c r="A10" s="5"/>
      <c r="B10" s="15" t="s">
        <v>19</v>
      </c>
      <c r="C10" s="16"/>
      <c r="D10" s="3"/>
      <c r="E10" s="3"/>
      <c r="F10" s="3"/>
      <c r="G10" s="3"/>
      <c r="H10" s="27"/>
      <c r="I10" s="27"/>
      <c r="J10" s="3"/>
      <c r="K10" s="3"/>
      <c r="L10" s="3"/>
      <c r="M10" s="3"/>
      <c r="N10" s="3"/>
      <c r="O10" s="27"/>
      <c r="P10" s="27"/>
      <c r="Q10" s="3"/>
      <c r="R10" s="3"/>
      <c r="S10" s="3"/>
      <c r="T10" s="3"/>
      <c r="U10" s="3"/>
      <c r="V10" s="27"/>
      <c r="W10" s="34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</row>
    <row r="11" spans="1:96" ht="22.95" customHeight="1" x14ac:dyDescent="0.3">
      <c r="A11" s="6"/>
      <c r="B11" s="15" t="s">
        <v>18</v>
      </c>
      <c r="C11" s="16"/>
      <c r="D11" s="3"/>
      <c r="E11" s="3"/>
      <c r="F11" s="3"/>
      <c r="G11" s="3"/>
      <c r="H11" s="27"/>
      <c r="I11" s="27"/>
      <c r="J11" s="3"/>
      <c r="K11" s="3"/>
      <c r="L11" s="3"/>
      <c r="M11" s="3"/>
      <c r="N11" s="3"/>
      <c r="O11" s="27"/>
      <c r="P11" s="27"/>
      <c r="Q11" s="3"/>
      <c r="R11" s="3"/>
      <c r="S11" s="3"/>
      <c r="T11" s="3"/>
      <c r="U11" s="3"/>
      <c r="V11" s="27"/>
      <c r="W11" s="34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</row>
    <row r="12" spans="1:96" ht="22.95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"/>
      <c r="M12" s="3"/>
      <c r="N12" s="3"/>
      <c r="O12" s="27"/>
      <c r="P12" s="27"/>
      <c r="Q12" s="3"/>
      <c r="R12" s="3"/>
      <c r="S12" s="3"/>
      <c r="T12" s="3"/>
      <c r="U12" s="3"/>
      <c r="V12" s="27"/>
      <c r="W12" s="34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</row>
    <row r="13" spans="1:96" ht="22.95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"/>
      <c r="M13" s="3"/>
      <c r="N13" s="3"/>
      <c r="O13" s="27"/>
      <c r="P13" s="27"/>
      <c r="Q13" s="3"/>
      <c r="R13" s="3"/>
      <c r="S13" s="3"/>
      <c r="T13" s="3"/>
      <c r="U13" s="3"/>
      <c r="V13" s="27"/>
      <c r="W13" s="34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</row>
    <row r="14" spans="1:96" ht="22.95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AH14" si="1">IF(WEEKDAY(E$3)=2,_xlfn.ISOWEEKNUM(E$3),"")</f>
        <v/>
      </c>
      <c r="F14" s="28" t="str">
        <f t="shared" si="1"/>
        <v/>
      </c>
      <c r="G14" s="28" t="str">
        <f t="shared" si="1"/>
        <v/>
      </c>
      <c r="H14" s="29" t="str">
        <f t="shared" si="1"/>
        <v/>
      </c>
      <c r="I14" s="29" t="str">
        <f t="shared" si="1"/>
        <v/>
      </c>
      <c r="J14" s="28">
        <f t="shared" si="1"/>
        <v>50</v>
      </c>
      <c r="K14" s="28" t="str">
        <f t="shared" si="1"/>
        <v/>
      </c>
      <c r="L14" s="28" t="str">
        <f t="shared" si="1"/>
        <v/>
      </c>
      <c r="M14" s="28" t="str">
        <f t="shared" si="1"/>
        <v/>
      </c>
      <c r="N14" s="28" t="str">
        <f t="shared" si="1"/>
        <v/>
      </c>
      <c r="O14" s="29" t="str">
        <f t="shared" si="1"/>
        <v/>
      </c>
      <c r="P14" s="29" t="str">
        <f t="shared" si="1"/>
        <v/>
      </c>
      <c r="Q14" s="28">
        <f t="shared" si="1"/>
        <v>51</v>
      </c>
      <c r="R14" s="28" t="str">
        <f t="shared" si="1"/>
        <v/>
      </c>
      <c r="S14" s="28" t="str">
        <f t="shared" si="1"/>
        <v/>
      </c>
      <c r="T14" s="28" t="str">
        <f t="shared" si="1"/>
        <v/>
      </c>
      <c r="U14" s="28" t="str">
        <f t="shared" si="1"/>
        <v/>
      </c>
      <c r="V14" s="29" t="str">
        <f t="shared" si="1"/>
        <v/>
      </c>
      <c r="W14" s="33" t="str">
        <f t="shared" si="1"/>
        <v/>
      </c>
      <c r="X14" s="28">
        <f t="shared" si="1"/>
        <v>52</v>
      </c>
      <c r="Y14" s="28" t="str">
        <f t="shared" si="1"/>
        <v/>
      </c>
      <c r="Z14" s="28" t="str">
        <f t="shared" si="1"/>
        <v/>
      </c>
      <c r="AA14" s="28" t="str">
        <f t="shared" si="1"/>
        <v/>
      </c>
      <c r="AB14" s="29" t="str">
        <f t="shared" si="1"/>
        <v/>
      </c>
      <c r="AC14" s="29" t="str">
        <f t="shared" si="1"/>
        <v/>
      </c>
      <c r="AD14" s="29" t="str">
        <f t="shared" si="1"/>
        <v/>
      </c>
      <c r="AE14" s="28">
        <f t="shared" si="1"/>
        <v>53</v>
      </c>
      <c r="AF14" s="28" t="str">
        <f t="shared" si="1"/>
        <v/>
      </c>
      <c r="AG14" s="28" t="str">
        <f t="shared" si="1"/>
        <v/>
      </c>
      <c r="AH14" s="28" t="str">
        <f t="shared" si="1"/>
        <v/>
      </c>
    </row>
    <row r="15" spans="1:96" ht="22.95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"/>
      <c r="M15" s="3"/>
      <c r="N15" s="3"/>
      <c r="O15" s="27"/>
      <c r="P15" s="27"/>
      <c r="Q15" s="3"/>
      <c r="R15" s="3"/>
      <c r="S15" s="3"/>
      <c r="T15" s="3"/>
      <c r="U15" s="3"/>
      <c r="V15" s="27"/>
      <c r="W15" s="34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</row>
    <row r="16" spans="1:96" ht="22.95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"/>
      <c r="M16" s="3"/>
      <c r="N16" s="3"/>
      <c r="O16" s="27"/>
      <c r="P16" s="27"/>
      <c r="Q16" s="3"/>
      <c r="R16" s="3"/>
      <c r="S16" s="3"/>
      <c r="T16" s="3"/>
      <c r="U16" s="3"/>
      <c r="V16" s="27"/>
      <c r="W16" s="34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</row>
    <row r="17" spans="1:34" ht="22.95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"/>
      <c r="M17" s="3"/>
      <c r="N17" s="3"/>
      <c r="O17" s="27"/>
      <c r="P17" s="27"/>
      <c r="Q17" s="3"/>
      <c r="R17" s="3"/>
      <c r="S17" s="3"/>
      <c r="T17" s="3"/>
      <c r="U17" s="3"/>
      <c r="V17" s="27"/>
      <c r="W17" s="34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</row>
    <row r="18" spans="1:34" ht="22.95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"/>
      <c r="M18" s="3"/>
      <c r="N18" s="3"/>
      <c r="O18" s="27"/>
      <c r="P18" s="27"/>
      <c r="Q18" s="3"/>
      <c r="R18" s="3"/>
      <c r="S18" s="3"/>
      <c r="T18" s="3"/>
      <c r="U18" s="3"/>
      <c r="V18" s="27"/>
      <c r="W18" s="34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</row>
    <row r="19" spans="1:34" ht="22.95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"/>
      <c r="M19" s="3"/>
      <c r="N19" s="3"/>
      <c r="O19" s="27"/>
      <c r="P19" s="27"/>
      <c r="Q19" s="3"/>
      <c r="R19" s="3"/>
      <c r="S19" s="3"/>
      <c r="T19" s="3"/>
      <c r="U19" s="3"/>
      <c r="V19" s="27"/>
      <c r="W19" s="34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</row>
    <row r="20" spans="1:34" ht="22.95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"/>
      <c r="M20" s="3"/>
      <c r="N20" s="3"/>
      <c r="O20" s="27"/>
      <c r="P20" s="27"/>
      <c r="Q20" s="3"/>
      <c r="R20" s="3"/>
      <c r="S20" s="3"/>
      <c r="T20" s="3"/>
      <c r="U20" s="3"/>
      <c r="V20" s="27"/>
      <c r="W20" s="34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</row>
    <row r="21" spans="1:34" ht="22.95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"/>
      <c r="M21" s="3"/>
      <c r="N21" s="3"/>
      <c r="O21" s="27"/>
      <c r="P21" s="27"/>
      <c r="Q21" s="3"/>
      <c r="R21" s="3"/>
      <c r="S21" s="3"/>
      <c r="T21" s="3"/>
      <c r="U21" s="3"/>
      <c r="V21" s="27"/>
      <c r="W21" s="34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</row>
    <row r="22" spans="1:34" ht="22.95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"/>
      <c r="M22" s="3"/>
      <c r="N22" s="3"/>
      <c r="O22" s="27"/>
      <c r="P22" s="27"/>
      <c r="Q22" s="3"/>
      <c r="R22" s="3"/>
      <c r="S22" s="3"/>
      <c r="T22" s="3"/>
      <c r="U22" s="3"/>
      <c r="V22" s="27"/>
      <c r="W22" s="34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</row>
    <row r="23" spans="1:34" ht="22.95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"/>
      <c r="M23" s="3"/>
      <c r="N23" s="3"/>
      <c r="O23" s="27"/>
      <c r="P23" s="27"/>
      <c r="Q23" s="3"/>
      <c r="R23" s="3"/>
      <c r="S23" s="3"/>
      <c r="T23" s="3"/>
      <c r="U23" s="3"/>
      <c r="V23" s="27"/>
      <c r="W23" s="34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</row>
    <row r="24" spans="1:34" ht="22.95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AH24" si="2">IF(WEEKDAY(E$3)=2,_xlfn.ISOWEEKNUM(E$3),"")</f>
        <v/>
      </c>
      <c r="F24" s="28" t="str">
        <f t="shared" si="2"/>
        <v/>
      </c>
      <c r="G24" s="28" t="str">
        <f t="shared" si="2"/>
        <v/>
      </c>
      <c r="H24" s="29" t="str">
        <f t="shared" si="2"/>
        <v/>
      </c>
      <c r="I24" s="29" t="str">
        <f t="shared" si="2"/>
        <v/>
      </c>
      <c r="J24" s="28">
        <f t="shared" si="2"/>
        <v>50</v>
      </c>
      <c r="K24" s="28" t="str">
        <f t="shared" si="2"/>
        <v/>
      </c>
      <c r="L24" s="28" t="str">
        <f t="shared" si="2"/>
        <v/>
      </c>
      <c r="M24" s="28" t="str">
        <f t="shared" si="2"/>
        <v/>
      </c>
      <c r="N24" s="28" t="str">
        <f t="shared" si="2"/>
        <v/>
      </c>
      <c r="O24" s="29" t="str">
        <f t="shared" si="2"/>
        <v/>
      </c>
      <c r="P24" s="29" t="str">
        <f t="shared" si="2"/>
        <v/>
      </c>
      <c r="Q24" s="28">
        <f t="shared" si="2"/>
        <v>51</v>
      </c>
      <c r="R24" s="28" t="str">
        <f t="shared" si="2"/>
        <v/>
      </c>
      <c r="S24" s="28" t="str">
        <f t="shared" si="2"/>
        <v/>
      </c>
      <c r="T24" s="28" t="str">
        <f t="shared" si="2"/>
        <v/>
      </c>
      <c r="U24" s="28" t="str">
        <f t="shared" si="2"/>
        <v/>
      </c>
      <c r="V24" s="29" t="str">
        <f t="shared" si="2"/>
        <v/>
      </c>
      <c r="W24" s="33" t="str">
        <f t="shared" si="2"/>
        <v/>
      </c>
      <c r="X24" s="28">
        <f t="shared" si="2"/>
        <v>52</v>
      </c>
      <c r="Y24" s="28" t="str">
        <f t="shared" si="2"/>
        <v/>
      </c>
      <c r="Z24" s="28" t="str">
        <f t="shared" si="2"/>
        <v/>
      </c>
      <c r="AA24" s="28" t="str">
        <f t="shared" si="2"/>
        <v/>
      </c>
      <c r="AB24" s="29" t="str">
        <f t="shared" si="2"/>
        <v/>
      </c>
      <c r="AC24" s="29" t="str">
        <f t="shared" si="2"/>
        <v/>
      </c>
      <c r="AD24" s="29" t="str">
        <f t="shared" si="2"/>
        <v/>
      </c>
      <c r="AE24" s="28">
        <f t="shared" si="2"/>
        <v>53</v>
      </c>
      <c r="AF24" s="28" t="str">
        <f t="shared" si="2"/>
        <v/>
      </c>
      <c r="AG24" s="28" t="str">
        <f t="shared" si="2"/>
        <v/>
      </c>
      <c r="AH24" s="28" t="str">
        <f t="shared" si="2"/>
        <v/>
      </c>
    </row>
    <row r="25" spans="1:34" ht="22.95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"/>
      <c r="M25" s="3"/>
      <c r="N25" s="3"/>
      <c r="O25" s="27"/>
      <c r="P25" s="27"/>
      <c r="Q25" s="3"/>
      <c r="R25" s="3"/>
      <c r="S25" s="3"/>
      <c r="T25" s="3"/>
      <c r="U25" s="3"/>
      <c r="V25" s="27"/>
      <c r="W25" s="34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</row>
    <row r="26" spans="1:34" ht="22.95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"/>
      <c r="M26" s="3"/>
      <c r="N26" s="3"/>
      <c r="O26" s="27"/>
      <c r="P26" s="27"/>
      <c r="Q26" s="3"/>
      <c r="R26" s="3"/>
      <c r="S26" s="3"/>
      <c r="T26" s="3"/>
      <c r="U26" s="3"/>
      <c r="V26" s="27"/>
      <c r="W26" s="34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</row>
    <row r="27" spans="1:34" ht="22.95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"/>
      <c r="M27" s="3"/>
      <c r="N27" s="3"/>
      <c r="O27" s="27"/>
      <c r="P27" s="27"/>
      <c r="Q27" s="3"/>
      <c r="R27" s="3"/>
      <c r="S27" s="3"/>
      <c r="T27" s="3"/>
      <c r="U27" s="3"/>
      <c r="V27" s="27"/>
      <c r="W27" s="34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</row>
    <row r="28" spans="1:34" ht="22.95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"/>
      <c r="M28" s="3"/>
      <c r="N28" s="3"/>
      <c r="O28" s="27"/>
      <c r="P28" s="27"/>
      <c r="Q28" s="3"/>
      <c r="R28" s="3"/>
      <c r="S28" s="3"/>
      <c r="T28" s="3"/>
      <c r="U28" s="3"/>
      <c r="V28" s="27"/>
      <c r="W28" s="34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</row>
    <row r="29" spans="1:34" ht="22.95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"/>
      <c r="M29" s="3"/>
      <c r="N29" s="3"/>
      <c r="O29" s="27"/>
      <c r="P29" s="27"/>
      <c r="Q29" s="3"/>
      <c r="R29" s="3"/>
      <c r="S29" s="3"/>
      <c r="T29" s="3"/>
      <c r="U29" s="3"/>
      <c r="V29" s="27"/>
      <c r="W29" s="34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</row>
    <row r="30" spans="1:34" ht="22.95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"/>
      <c r="M30" s="3"/>
      <c r="N30" s="3"/>
      <c r="O30" s="27"/>
      <c r="P30" s="27"/>
      <c r="Q30" s="3"/>
      <c r="R30" s="3"/>
      <c r="S30" s="3"/>
      <c r="T30" s="3"/>
      <c r="U30" s="3"/>
      <c r="V30" s="27"/>
      <c r="W30" s="34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</row>
    <row r="31" spans="1:34" ht="22.95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"/>
      <c r="M31" s="3"/>
      <c r="N31" s="3"/>
      <c r="O31" s="27"/>
      <c r="P31" s="27"/>
      <c r="Q31" s="3"/>
      <c r="R31" s="3"/>
      <c r="S31" s="3"/>
      <c r="T31" s="3"/>
      <c r="U31" s="3"/>
      <c r="V31" s="27"/>
      <c r="W31" s="34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</row>
    <row r="32" spans="1:34" ht="22.95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"/>
      <c r="M32" s="3"/>
      <c r="N32" s="3"/>
      <c r="O32" s="27"/>
      <c r="P32" s="27"/>
      <c r="Q32" s="3"/>
      <c r="R32" s="3"/>
      <c r="S32" s="3"/>
      <c r="T32" s="3"/>
      <c r="U32" s="3"/>
      <c r="V32" s="27"/>
      <c r="W32" s="34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</row>
    <row r="33" spans="1:34" ht="22.95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"/>
      <c r="M33" s="3"/>
      <c r="N33" s="3"/>
      <c r="O33" s="27"/>
      <c r="P33" s="27"/>
      <c r="Q33" s="3"/>
      <c r="R33" s="3"/>
      <c r="S33" s="3"/>
      <c r="T33" s="3"/>
      <c r="U33" s="3"/>
      <c r="V33" s="27"/>
      <c r="W33" s="34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</row>
    <row r="34" spans="1:34" ht="22.95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AH34" si="3">IF(WEEKDAY(E$3)=2,_xlfn.ISOWEEKNUM(E$3),"")</f>
        <v/>
      </c>
      <c r="F34" s="28" t="str">
        <f t="shared" si="3"/>
        <v/>
      </c>
      <c r="G34" s="28" t="str">
        <f t="shared" si="3"/>
        <v/>
      </c>
      <c r="H34" s="29" t="str">
        <f t="shared" si="3"/>
        <v/>
      </c>
      <c r="I34" s="29" t="str">
        <f t="shared" si="3"/>
        <v/>
      </c>
      <c r="J34" s="28">
        <f t="shared" si="3"/>
        <v>50</v>
      </c>
      <c r="K34" s="28" t="str">
        <f t="shared" si="3"/>
        <v/>
      </c>
      <c r="L34" s="28" t="str">
        <f t="shared" si="3"/>
        <v/>
      </c>
      <c r="M34" s="28" t="str">
        <f t="shared" si="3"/>
        <v/>
      </c>
      <c r="N34" s="28" t="str">
        <f t="shared" si="3"/>
        <v/>
      </c>
      <c r="O34" s="29" t="str">
        <f t="shared" si="3"/>
        <v/>
      </c>
      <c r="P34" s="29" t="str">
        <f t="shared" si="3"/>
        <v/>
      </c>
      <c r="Q34" s="28">
        <f t="shared" si="3"/>
        <v>51</v>
      </c>
      <c r="R34" s="28" t="str">
        <f t="shared" si="3"/>
        <v/>
      </c>
      <c r="S34" s="28" t="str">
        <f t="shared" si="3"/>
        <v/>
      </c>
      <c r="T34" s="28" t="str">
        <f t="shared" si="3"/>
        <v/>
      </c>
      <c r="U34" s="28" t="str">
        <f t="shared" si="3"/>
        <v/>
      </c>
      <c r="V34" s="29" t="str">
        <f t="shared" si="3"/>
        <v/>
      </c>
      <c r="W34" s="33" t="str">
        <f t="shared" si="3"/>
        <v/>
      </c>
      <c r="X34" s="28">
        <f t="shared" si="3"/>
        <v>52</v>
      </c>
      <c r="Y34" s="28" t="str">
        <f t="shared" si="3"/>
        <v/>
      </c>
      <c r="Z34" s="28" t="str">
        <f t="shared" si="3"/>
        <v/>
      </c>
      <c r="AA34" s="28" t="str">
        <f t="shared" si="3"/>
        <v/>
      </c>
      <c r="AB34" s="29" t="str">
        <f t="shared" si="3"/>
        <v/>
      </c>
      <c r="AC34" s="29" t="str">
        <f t="shared" si="3"/>
        <v/>
      </c>
      <c r="AD34" s="29" t="str">
        <f t="shared" si="3"/>
        <v/>
      </c>
      <c r="AE34" s="28">
        <f t="shared" si="3"/>
        <v>53</v>
      </c>
      <c r="AF34" s="28" t="str">
        <f t="shared" si="3"/>
        <v/>
      </c>
      <c r="AG34" s="28" t="str">
        <f t="shared" si="3"/>
        <v/>
      </c>
      <c r="AH34" s="28" t="str">
        <f t="shared" si="3"/>
        <v/>
      </c>
    </row>
    <row r="35" spans="1:34" ht="22.95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"/>
      <c r="M35" s="3"/>
      <c r="N35" s="3"/>
      <c r="O35" s="27"/>
      <c r="P35" s="27"/>
      <c r="Q35" s="3"/>
      <c r="R35" s="3"/>
      <c r="S35" s="3"/>
      <c r="T35" s="3"/>
      <c r="U35" s="3"/>
      <c r="V35" s="27"/>
      <c r="W35" s="34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</row>
    <row r="36" spans="1:34" ht="22.95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"/>
      <c r="M36" s="3"/>
      <c r="N36" s="3"/>
      <c r="O36" s="27"/>
      <c r="P36" s="27"/>
      <c r="Q36" s="3"/>
      <c r="R36" s="3"/>
      <c r="S36" s="3"/>
      <c r="T36" s="3"/>
      <c r="U36" s="3"/>
      <c r="V36" s="27"/>
      <c r="W36" s="34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</row>
    <row r="37" spans="1:34" ht="22.95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"/>
      <c r="M37" s="3"/>
      <c r="N37" s="3"/>
      <c r="O37" s="27"/>
      <c r="P37" s="27"/>
      <c r="Q37" s="3"/>
      <c r="R37" s="3"/>
      <c r="S37" s="3"/>
      <c r="T37" s="3"/>
      <c r="U37" s="3"/>
      <c r="V37" s="27"/>
      <c r="W37" s="34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</row>
    <row r="38" spans="1:34" ht="22.95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"/>
      <c r="M38" s="3"/>
      <c r="N38" s="3"/>
      <c r="O38" s="27"/>
      <c r="P38" s="27"/>
      <c r="Q38" s="3"/>
      <c r="R38" s="3"/>
      <c r="S38" s="3"/>
      <c r="T38" s="3"/>
      <c r="U38" s="3"/>
      <c r="V38" s="27"/>
      <c r="W38" s="34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</row>
    <row r="39" spans="1:34" ht="22.95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"/>
      <c r="M39" s="3"/>
      <c r="N39" s="3"/>
      <c r="O39" s="27"/>
      <c r="P39" s="27"/>
      <c r="Q39" s="3"/>
      <c r="R39" s="3"/>
      <c r="S39" s="3"/>
      <c r="T39" s="3"/>
      <c r="U39" s="3"/>
      <c r="V39" s="27"/>
      <c r="W39" s="34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</row>
    <row r="40" spans="1:34" ht="22.95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"/>
      <c r="M40" s="3"/>
      <c r="N40" s="3"/>
      <c r="O40" s="27"/>
      <c r="P40" s="27"/>
      <c r="Q40" s="3"/>
      <c r="R40" s="3"/>
      <c r="S40" s="3"/>
      <c r="T40" s="3"/>
      <c r="U40" s="3"/>
      <c r="V40" s="27"/>
      <c r="W40" s="34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</row>
    <row r="41" spans="1:34" ht="22.95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"/>
      <c r="M41" s="3"/>
      <c r="N41" s="3"/>
      <c r="O41" s="27"/>
      <c r="P41" s="27"/>
      <c r="Q41" s="3"/>
      <c r="R41" s="3"/>
      <c r="S41" s="3"/>
      <c r="T41" s="3"/>
      <c r="U41" s="3"/>
      <c r="V41" s="27"/>
      <c r="W41" s="34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</row>
    <row r="42" spans="1:34" ht="22.95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"/>
      <c r="M42" s="3"/>
      <c r="N42" s="3"/>
      <c r="O42" s="27"/>
      <c r="P42" s="27"/>
      <c r="Q42" s="3"/>
      <c r="R42" s="3"/>
      <c r="S42" s="3"/>
      <c r="T42" s="3"/>
      <c r="U42" s="3"/>
      <c r="V42" s="27"/>
      <c r="W42" s="34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</row>
    <row r="43" spans="1:34" ht="22.95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"/>
      <c r="M43" s="3"/>
      <c r="N43" s="3"/>
      <c r="O43" s="27"/>
      <c r="P43" s="27"/>
      <c r="Q43" s="3"/>
      <c r="R43" s="3"/>
      <c r="S43" s="3"/>
      <c r="T43" s="3"/>
      <c r="U43" s="3"/>
      <c r="V43" s="27"/>
      <c r="W43" s="34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</row>
    <row r="44" spans="1:34" ht="22.95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AH44" si="4">IF(WEEKDAY(E$3)=2,_xlfn.ISOWEEKNUM(E$3),"")</f>
        <v/>
      </c>
      <c r="F44" s="28" t="str">
        <f t="shared" si="4"/>
        <v/>
      </c>
      <c r="G44" s="28" t="str">
        <f t="shared" si="4"/>
        <v/>
      </c>
      <c r="H44" s="29" t="str">
        <f t="shared" si="4"/>
        <v/>
      </c>
      <c r="I44" s="29" t="str">
        <f t="shared" si="4"/>
        <v/>
      </c>
      <c r="J44" s="28">
        <f t="shared" si="4"/>
        <v>50</v>
      </c>
      <c r="K44" s="28" t="str">
        <f t="shared" si="4"/>
        <v/>
      </c>
      <c r="L44" s="28" t="str">
        <f t="shared" si="4"/>
        <v/>
      </c>
      <c r="M44" s="28" t="str">
        <f t="shared" si="4"/>
        <v/>
      </c>
      <c r="N44" s="28" t="str">
        <f t="shared" si="4"/>
        <v/>
      </c>
      <c r="O44" s="29" t="str">
        <f t="shared" si="4"/>
        <v/>
      </c>
      <c r="P44" s="29" t="str">
        <f t="shared" si="4"/>
        <v/>
      </c>
      <c r="Q44" s="28">
        <f t="shared" si="4"/>
        <v>51</v>
      </c>
      <c r="R44" s="28" t="str">
        <f t="shared" si="4"/>
        <v/>
      </c>
      <c r="S44" s="28" t="str">
        <f t="shared" si="4"/>
        <v/>
      </c>
      <c r="T44" s="28" t="str">
        <f t="shared" si="4"/>
        <v/>
      </c>
      <c r="U44" s="28" t="str">
        <f t="shared" si="4"/>
        <v/>
      </c>
      <c r="V44" s="29" t="str">
        <f t="shared" si="4"/>
        <v/>
      </c>
      <c r="W44" s="33" t="str">
        <f t="shared" si="4"/>
        <v/>
      </c>
      <c r="X44" s="28">
        <f t="shared" si="4"/>
        <v>52</v>
      </c>
      <c r="Y44" s="28" t="str">
        <f t="shared" si="4"/>
        <v/>
      </c>
      <c r="Z44" s="28" t="str">
        <f t="shared" si="4"/>
        <v/>
      </c>
      <c r="AA44" s="28" t="str">
        <f t="shared" si="4"/>
        <v/>
      </c>
      <c r="AB44" s="29" t="str">
        <f t="shared" si="4"/>
        <v/>
      </c>
      <c r="AC44" s="29" t="str">
        <f t="shared" si="4"/>
        <v/>
      </c>
      <c r="AD44" s="29" t="str">
        <f t="shared" si="4"/>
        <v/>
      </c>
      <c r="AE44" s="28">
        <f t="shared" si="4"/>
        <v>53</v>
      </c>
      <c r="AF44" s="28" t="str">
        <f t="shared" si="4"/>
        <v/>
      </c>
      <c r="AG44" s="28" t="str">
        <f t="shared" si="4"/>
        <v/>
      </c>
      <c r="AH44" s="28" t="str">
        <f t="shared" si="4"/>
        <v/>
      </c>
    </row>
    <row r="45" spans="1:34" ht="22.95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"/>
      <c r="M45" s="3"/>
      <c r="N45" s="3"/>
      <c r="O45" s="27"/>
      <c r="P45" s="27"/>
      <c r="Q45" s="3"/>
      <c r="R45" s="3"/>
      <c r="S45" s="3"/>
      <c r="T45" s="3"/>
      <c r="U45" s="3"/>
      <c r="V45" s="27"/>
      <c r="W45" s="34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</row>
    <row r="46" spans="1:34" ht="22.95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"/>
      <c r="M46" s="3"/>
      <c r="N46" s="3"/>
      <c r="O46" s="27"/>
      <c r="P46" s="27"/>
      <c r="Q46" s="3"/>
      <c r="R46" s="3"/>
      <c r="S46" s="3"/>
      <c r="T46" s="3"/>
      <c r="U46" s="3"/>
      <c r="V46" s="27"/>
      <c r="W46" s="34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</row>
    <row r="47" spans="1:34" ht="22.95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"/>
      <c r="M47" s="3"/>
      <c r="N47" s="3"/>
      <c r="O47" s="27"/>
      <c r="P47" s="27"/>
      <c r="Q47" s="3"/>
      <c r="R47" s="3"/>
      <c r="S47" s="3"/>
      <c r="T47" s="3"/>
      <c r="U47" s="3"/>
      <c r="V47" s="27"/>
      <c r="W47" s="34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</row>
    <row r="48" spans="1:34" ht="22.95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"/>
      <c r="M48" s="3"/>
      <c r="N48" s="3"/>
      <c r="O48" s="27"/>
      <c r="P48" s="27"/>
      <c r="Q48" s="3"/>
      <c r="R48" s="3"/>
      <c r="S48" s="3"/>
      <c r="T48" s="3"/>
      <c r="U48" s="3"/>
      <c r="V48" s="27"/>
      <c r="W48" s="34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</row>
    <row r="49" spans="1:34" ht="22.95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"/>
      <c r="M49" s="3"/>
      <c r="N49" s="3"/>
      <c r="O49" s="27"/>
      <c r="P49" s="27"/>
      <c r="Q49" s="3"/>
      <c r="R49" s="3"/>
      <c r="S49" s="3"/>
      <c r="T49" s="3"/>
      <c r="U49" s="3"/>
      <c r="V49" s="27"/>
      <c r="W49" s="34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</row>
    <row r="50" spans="1:34" ht="22.95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"/>
      <c r="M50" s="3"/>
      <c r="N50" s="3"/>
      <c r="O50" s="27"/>
      <c r="P50" s="27"/>
      <c r="Q50" s="3"/>
      <c r="R50" s="3"/>
      <c r="S50" s="3"/>
      <c r="T50" s="3"/>
      <c r="U50" s="3"/>
      <c r="V50" s="27"/>
      <c r="W50" s="34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</row>
    <row r="51" spans="1:34" ht="22.95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"/>
      <c r="M51" s="3"/>
      <c r="N51" s="3"/>
      <c r="O51" s="27"/>
      <c r="P51" s="27"/>
      <c r="Q51" s="3"/>
      <c r="R51" s="3"/>
      <c r="S51" s="3"/>
      <c r="T51" s="3"/>
      <c r="U51" s="3"/>
      <c r="V51" s="27"/>
      <c r="W51" s="34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</row>
    <row r="52" spans="1:34" ht="22.95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"/>
      <c r="M52" s="3"/>
      <c r="N52" s="3"/>
      <c r="O52" s="27"/>
      <c r="P52" s="27"/>
      <c r="Q52" s="3"/>
      <c r="R52" s="3"/>
      <c r="S52" s="3"/>
      <c r="T52" s="3"/>
      <c r="U52" s="3"/>
      <c r="V52" s="27"/>
      <c r="W52" s="34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</row>
    <row r="53" spans="1:34" ht="22.95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"/>
      <c r="M53" s="3"/>
      <c r="N53" s="3"/>
      <c r="O53" s="27"/>
      <c r="P53" s="27"/>
      <c r="Q53" s="3"/>
      <c r="R53" s="3"/>
      <c r="S53" s="3"/>
      <c r="T53" s="3"/>
      <c r="U53" s="3"/>
      <c r="V53" s="27"/>
      <c r="W53" s="34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</row>
    <row r="54" spans="1:34" ht="22.95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AH54" si="5">IF(WEEKDAY(E$3)=2,_xlfn.ISOWEEKNUM(E$3),"")</f>
        <v/>
      </c>
      <c r="F54" s="28" t="str">
        <f t="shared" si="5"/>
        <v/>
      </c>
      <c r="G54" s="28" t="str">
        <f t="shared" si="5"/>
        <v/>
      </c>
      <c r="H54" s="29" t="str">
        <f t="shared" si="5"/>
        <v/>
      </c>
      <c r="I54" s="29" t="str">
        <f t="shared" si="5"/>
        <v/>
      </c>
      <c r="J54" s="28">
        <f t="shared" si="5"/>
        <v>50</v>
      </c>
      <c r="K54" s="28" t="str">
        <f t="shared" si="5"/>
        <v/>
      </c>
      <c r="L54" s="28" t="str">
        <f t="shared" si="5"/>
        <v/>
      </c>
      <c r="M54" s="28" t="str">
        <f t="shared" si="5"/>
        <v/>
      </c>
      <c r="N54" s="28" t="str">
        <f t="shared" si="5"/>
        <v/>
      </c>
      <c r="O54" s="29" t="str">
        <f t="shared" si="5"/>
        <v/>
      </c>
      <c r="P54" s="29" t="str">
        <f t="shared" si="5"/>
        <v/>
      </c>
      <c r="Q54" s="28">
        <f t="shared" si="5"/>
        <v>51</v>
      </c>
      <c r="R54" s="28" t="str">
        <f t="shared" si="5"/>
        <v/>
      </c>
      <c r="S54" s="28" t="str">
        <f t="shared" si="5"/>
        <v/>
      </c>
      <c r="T54" s="28" t="str">
        <f t="shared" si="5"/>
        <v/>
      </c>
      <c r="U54" s="28" t="str">
        <f t="shared" si="5"/>
        <v/>
      </c>
      <c r="V54" s="29" t="str">
        <f t="shared" si="5"/>
        <v/>
      </c>
      <c r="W54" s="33" t="str">
        <f t="shared" si="5"/>
        <v/>
      </c>
      <c r="X54" s="28">
        <f t="shared" si="5"/>
        <v>52</v>
      </c>
      <c r="Y54" s="28" t="str">
        <f t="shared" si="5"/>
        <v/>
      </c>
      <c r="Z54" s="28" t="str">
        <f t="shared" si="5"/>
        <v/>
      </c>
      <c r="AA54" s="28" t="str">
        <f t="shared" si="5"/>
        <v/>
      </c>
      <c r="AB54" s="29" t="str">
        <f t="shared" si="5"/>
        <v/>
      </c>
      <c r="AC54" s="29" t="str">
        <f t="shared" si="5"/>
        <v/>
      </c>
      <c r="AD54" s="29" t="str">
        <f t="shared" si="5"/>
        <v/>
      </c>
      <c r="AE54" s="28">
        <f t="shared" si="5"/>
        <v>53</v>
      </c>
      <c r="AF54" s="28" t="str">
        <f t="shared" si="5"/>
        <v/>
      </c>
      <c r="AG54" s="28" t="str">
        <f t="shared" si="5"/>
        <v/>
      </c>
      <c r="AH54" s="28" t="str">
        <f t="shared" si="5"/>
        <v/>
      </c>
    </row>
    <row r="55" spans="1:34" ht="22.95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"/>
      <c r="M55" s="3"/>
      <c r="N55" s="3"/>
      <c r="O55" s="27"/>
      <c r="P55" s="27"/>
      <c r="Q55" s="3"/>
      <c r="R55" s="3"/>
      <c r="S55" s="3"/>
      <c r="T55" s="3"/>
      <c r="U55" s="3"/>
      <c r="V55" s="27"/>
      <c r="W55" s="34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</row>
    <row r="56" spans="1:34" ht="22.95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"/>
      <c r="M56" s="3"/>
      <c r="N56" s="3"/>
      <c r="O56" s="27"/>
      <c r="P56" s="27"/>
      <c r="Q56" s="3"/>
      <c r="R56" s="3"/>
      <c r="S56" s="3"/>
      <c r="T56" s="3"/>
      <c r="U56" s="3"/>
      <c r="V56" s="27"/>
      <c r="W56" s="34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</row>
    <row r="57" spans="1:34" ht="22.95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"/>
      <c r="M57" s="3"/>
      <c r="N57" s="3"/>
      <c r="O57" s="27"/>
      <c r="P57" s="27"/>
      <c r="Q57" s="3"/>
      <c r="R57" s="3"/>
      <c r="S57" s="3"/>
      <c r="T57" s="3"/>
      <c r="U57" s="3"/>
      <c r="V57" s="27"/>
      <c r="W57" s="34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</row>
    <row r="58" spans="1:34" ht="22.95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"/>
      <c r="M58" s="3"/>
      <c r="N58" s="3"/>
      <c r="O58" s="27"/>
      <c r="P58" s="27"/>
      <c r="Q58" s="3"/>
      <c r="R58" s="3"/>
      <c r="S58" s="3"/>
      <c r="T58" s="3"/>
      <c r="U58" s="3"/>
      <c r="V58" s="27"/>
      <c r="W58" s="34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</row>
    <row r="59" spans="1:34" ht="22.95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"/>
      <c r="M59" s="3"/>
      <c r="N59" s="3"/>
      <c r="O59" s="27"/>
      <c r="P59" s="27"/>
      <c r="Q59" s="3"/>
      <c r="R59" s="3"/>
      <c r="S59" s="3"/>
      <c r="T59" s="3"/>
      <c r="U59" s="3"/>
      <c r="V59" s="27"/>
      <c r="W59" s="34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</row>
    <row r="60" spans="1:34" ht="22.95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"/>
      <c r="M60" s="3"/>
      <c r="N60" s="3"/>
      <c r="O60" s="27"/>
      <c r="P60" s="27"/>
      <c r="Q60" s="3"/>
      <c r="R60" s="3"/>
      <c r="S60" s="3"/>
      <c r="T60" s="3"/>
      <c r="U60" s="3"/>
      <c r="V60" s="27"/>
      <c r="W60" s="34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</row>
    <row r="61" spans="1:34" ht="22.95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"/>
      <c r="M61" s="3"/>
      <c r="N61" s="3"/>
      <c r="O61" s="27"/>
      <c r="P61" s="27"/>
      <c r="Q61" s="3"/>
      <c r="R61" s="3"/>
      <c r="S61" s="3"/>
      <c r="T61" s="3"/>
      <c r="U61" s="3"/>
      <c r="V61" s="27"/>
      <c r="W61" s="34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</row>
    <row r="62" spans="1:34" ht="22.95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"/>
      <c r="M62" s="3"/>
      <c r="N62" s="3"/>
      <c r="O62" s="27"/>
      <c r="P62" s="27"/>
      <c r="Q62" s="3"/>
      <c r="R62" s="3"/>
      <c r="S62" s="3"/>
      <c r="T62" s="3"/>
      <c r="U62" s="3"/>
      <c r="V62" s="27"/>
      <c r="W62" s="34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</row>
    <row r="63" spans="1:34" ht="22.95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"/>
      <c r="M63" s="3"/>
      <c r="N63" s="3"/>
      <c r="O63" s="27"/>
      <c r="P63" s="27"/>
      <c r="Q63" s="3"/>
      <c r="R63" s="3"/>
      <c r="S63" s="3"/>
      <c r="T63" s="3"/>
      <c r="U63" s="3"/>
      <c r="V63" s="27"/>
      <c r="W63" s="34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</row>
    <row r="64" spans="1:34" ht="22.95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AH64" si="6">IF(WEEKDAY(E$3)=2,_xlfn.ISOWEEKNUM(E$3),"")</f>
        <v/>
      </c>
      <c r="F64" s="28" t="str">
        <f t="shared" si="6"/>
        <v/>
      </c>
      <c r="G64" s="28" t="str">
        <f t="shared" si="6"/>
        <v/>
      </c>
      <c r="H64" s="29" t="str">
        <f t="shared" si="6"/>
        <v/>
      </c>
      <c r="I64" s="29" t="str">
        <f t="shared" si="6"/>
        <v/>
      </c>
      <c r="J64" s="28">
        <f t="shared" si="6"/>
        <v>50</v>
      </c>
      <c r="K64" s="28" t="str">
        <f t="shared" si="6"/>
        <v/>
      </c>
      <c r="L64" s="28" t="str">
        <f t="shared" si="6"/>
        <v/>
      </c>
      <c r="M64" s="28" t="str">
        <f t="shared" si="6"/>
        <v/>
      </c>
      <c r="N64" s="28" t="str">
        <f t="shared" si="6"/>
        <v/>
      </c>
      <c r="O64" s="29" t="str">
        <f t="shared" si="6"/>
        <v/>
      </c>
      <c r="P64" s="29" t="str">
        <f t="shared" si="6"/>
        <v/>
      </c>
      <c r="Q64" s="28">
        <f t="shared" si="6"/>
        <v>51</v>
      </c>
      <c r="R64" s="28" t="str">
        <f t="shared" si="6"/>
        <v/>
      </c>
      <c r="S64" s="28" t="str">
        <f t="shared" si="6"/>
        <v/>
      </c>
      <c r="T64" s="28" t="str">
        <f t="shared" si="6"/>
        <v/>
      </c>
      <c r="U64" s="28" t="str">
        <f t="shared" si="6"/>
        <v/>
      </c>
      <c r="V64" s="29" t="str">
        <f t="shared" si="6"/>
        <v/>
      </c>
      <c r="W64" s="33" t="str">
        <f t="shared" si="6"/>
        <v/>
      </c>
      <c r="X64" s="28">
        <f t="shared" si="6"/>
        <v>52</v>
      </c>
      <c r="Y64" s="28" t="str">
        <f t="shared" si="6"/>
        <v/>
      </c>
      <c r="Z64" s="28" t="str">
        <f t="shared" si="6"/>
        <v/>
      </c>
      <c r="AA64" s="28" t="str">
        <f t="shared" si="6"/>
        <v/>
      </c>
      <c r="AB64" s="29" t="str">
        <f t="shared" si="6"/>
        <v/>
      </c>
      <c r="AC64" s="29" t="str">
        <f t="shared" si="6"/>
        <v/>
      </c>
      <c r="AD64" s="29" t="str">
        <f t="shared" si="6"/>
        <v/>
      </c>
      <c r="AE64" s="28">
        <f t="shared" si="6"/>
        <v>53</v>
      </c>
      <c r="AF64" s="28" t="str">
        <f t="shared" si="6"/>
        <v/>
      </c>
      <c r="AG64" s="28" t="str">
        <f t="shared" si="6"/>
        <v/>
      </c>
      <c r="AH64" s="28" t="str">
        <f t="shared" si="6"/>
        <v/>
      </c>
    </row>
    <row r="65" spans="1:34" ht="22.95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"/>
      <c r="M65" s="3"/>
      <c r="N65" s="3"/>
      <c r="O65" s="27"/>
      <c r="P65" s="27"/>
      <c r="Q65" s="3"/>
      <c r="R65" s="3"/>
      <c r="S65" s="3"/>
      <c r="T65" s="3"/>
      <c r="U65" s="3"/>
      <c r="V65" s="27"/>
      <c r="W65" s="34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</row>
    <row r="66" spans="1:34" ht="22.95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"/>
      <c r="M66" s="3"/>
      <c r="N66" s="3"/>
      <c r="O66" s="27"/>
      <c r="P66" s="27"/>
      <c r="Q66" s="3"/>
      <c r="R66" s="3"/>
      <c r="S66" s="3"/>
      <c r="T66" s="3"/>
      <c r="U66" s="3"/>
      <c r="V66" s="27"/>
      <c r="W66" s="34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</row>
    <row r="67" spans="1:34" ht="22.95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"/>
      <c r="M67" s="3"/>
      <c r="N67" s="3"/>
      <c r="O67" s="27"/>
      <c r="P67" s="27"/>
      <c r="Q67" s="3"/>
      <c r="R67" s="3"/>
      <c r="S67" s="3"/>
      <c r="T67" s="3"/>
      <c r="U67" s="3"/>
      <c r="V67" s="27"/>
      <c r="W67" s="34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</row>
    <row r="68" spans="1:34" ht="22.95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"/>
      <c r="M68" s="3"/>
      <c r="N68" s="3"/>
      <c r="O68" s="27"/>
      <c r="P68" s="27"/>
      <c r="Q68" s="3"/>
      <c r="R68" s="3"/>
      <c r="S68" s="3"/>
      <c r="T68" s="3"/>
      <c r="U68" s="3"/>
      <c r="V68" s="27"/>
      <c r="W68" s="34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</row>
    <row r="69" spans="1:34" ht="22.95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"/>
      <c r="M69" s="3"/>
      <c r="N69" s="3"/>
      <c r="O69" s="27"/>
      <c r="P69" s="27"/>
      <c r="Q69" s="3"/>
      <c r="R69" s="3"/>
      <c r="S69" s="3"/>
      <c r="T69" s="3"/>
      <c r="U69" s="3"/>
      <c r="V69" s="27"/>
      <c r="W69" s="34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</row>
    <row r="70" spans="1:34" ht="22.95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"/>
      <c r="M70" s="3"/>
      <c r="N70" s="3"/>
      <c r="O70" s="27"/>
      <c r="P70" s="27"/>
      <c r="Q70" s="3"/>
      <c r="R70" s="3"/>
      <c r="S70" s="3"/>
      <c r="T70" s="3"/>
      <c r="U70" s="3"/>
      <c r="V70" s="27"/>
      <c r="W70" s="34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</row>
    <row r="71" spans="1:34" ht="22.95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"/>
      <c r="M71" s="3"/>
      <c r="N71" s="3"/>
      <c r="O71" s="27"/>
      <c r="P71" s="27"/>
      <c r="Q71" s="3"/>
      <c r="R71" s="3"/>
      <c r="S71" s="3"/>
      <c r="T71" s="3"/>
      <c r="U71" s="3"/>
      <c r="V71" s="27"/>
      <c r="W71" s="34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</row>
    <row r="72" spans="1:34" ht="22.95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"/>
      <c r="M72" s="3"/>
      <c r="N72" s="3"/>
      <c r="O72" s="27"/>
      <c r="P72" s="27"/>
      <c r="Q72" s="3"/>
      <c r="R72" s="3"/>
      <c r="S72" s="3"/>
      <c r="T72" s="3"/>
      <c r="U72" s="3"/>
      <c r="V72" s="27"/>
      <c r="W72" s="34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</row>
    <row r="73" spans="1:34" ht="22.95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"/>
      <c r="M73" s="3"/>
      <c r="N73" s="3"/>
      <c r="O73" s="27"/>
      <c r="P73" s="27"/>
      <c r="Q73" s="3"/>
      <c r="R73" s="3"/>
      <c r="S73" s="3"/>
      <c r="T73" s="3"/>
      <c r="U73" s="3"/>
      <c r="V73" s="27"/>
      <c r="W73" s="34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</row>
    <row r="74" spans="1:34" ht="22.95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AH74" si="7">IF(WEEKDAY(E$3)=2,_xlfn.ISOWEEKNUM(E$3),"")</f>
        <v/>
      </c>
      <c r="F74" s="28" t="str">
        <f t="shared" si="7"/>
        <v/>
      </c>
      <c r="G74" s="28" t="str">
        <f t="shared" si="7"/>
        <v/>
      </c>
      <c r="H74" s="29" t="str">
        <f t="shared" si="7"/>
        <v/>
      </c>
      <c r="I74" s="29" t="str">
        <f t="shared" si="7"/>
        <v/>
      </c>
      <c r="J74" s="28">
        <f t="shared" si="7"/>
        <v>50</v>
      </c>
      <c r="K74" s="28" t="str">
        <f t="shared" si="7"/>
        <v/>
      </c>
      <c r="L74" s="28" t="str">
        <f t="shared" si="7"/>
        <v/>
      </c>
      <c r="M74" s="28" t="str">
        <f t="shared" si="7"/>
        <v/>
      </c>
      <c r="N74" s="28" t="str">
        <f t="shared" si="7"/>
        <v/>
      </c>
      <c r="O74" s="29" t="str">
        <f t="shared" si="7"/>
        <v/>
      </c>
      <c r="P74" s="29" t="str">
        <f t="shared" si="7"/>
        <v/>
      </c>
      <c r="Q74" s="28">
        <f t="shared" si="7"/>
        <v>51</v>
      </c>
      <c r="R74" s="28" t="str">
        <f t="shared" si="7"/>
        <v/>
      </c>
      <c r="S74" s="28" t="str">
        <f t="shared" si="7"/>
        <v/>
      </c>
      <c r="T74" s="28" t="str">
        <f t="shared" si="7"/>
        <v/>
      </c>
      <c r="U74" s="28" t="str">
        <f t="shared" si="7"/>
        <v/>
      </c>
      <c r="V74" s="29" t="str">
        <f t="shared" si="7"/>
        <v/>
      </c>
      <c r="W74" s="33" t="str">
        <f t="shared" si="7"/>
        <v/>
      </c>
      <c r="X74" s="28">
        <f t="shared" si="7"/>
        <v>52</v>
      </c>
      <c r="Y74" s="28" t="str">
        <f t="shared" si="7"/>
        <v/>
      </c>
      <c r="Z74" s="28" t="str">
        <f t="shared" si="7"/>
        <v/>
      </c>
      <c r="AA74" s="28" t="str">
        <f t="shared" si="7"/>
        <v/>
      </c>
      <c r="AB74" s="29" t="str">
        <f t="shared" si="7"/>
        <v/>
      </c>
      <c r="AC74" s="29" t="str">
        <f t="shared" si="7"/>
        <v/>
      </c>
      <c r="AD74" s="29" t="str">
        <f t="shared" si="7"/>
        <v/>
      </c>
      <c r="AE74" s="28">
        <f t="shared" si="7"/>
        <v>53</v>
      </c>
      <c r="AF74" s="28" t="str">
        <f t="shared" si="7"/>
        <v/>
      </c>
      <c r="AG74" s="28" t="str">
        <f t="shared" si="7"/>
        <v/>
      </c>
      <c r="AH74" s="28" t="str">
        <f t="shared" si="7"/>
        <v/>
      </c>
    </row>
    <row r="75" spans="1:34" ht="22.95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"/>
      <c r="M75" s="3"/>
      <c r="N75" s="3"/>
      <c r="O75" s="27"/>
      <c r="P75" s="27"/>
      <c r="Q75" s="3"/>
      <c r="R75" s="3"/>
      <c r="S75" s="3"/>
      <c r="T75" s="3"/>
      <c r="U75" s="3"/>
      <c r="V75" s="27"/>
      <c r="W75" s="34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</row>
    <row r="76" spans="1:34" ht="22.95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"/>
      <c r="M76" s="3"/>
      <c r="N76" s="3"/>
      <c r="O76" s="27"/>
      <c r="P76" s="27"/>
      <c r="Q76" s="3"/>
      <c r="R76" s="3"/>
      <c r="S76" s="3"/>
      <c r="T76" s="3"/>
      <c r="U76" s="3"/>
      <c r="V76" s="27"/>
      <c r="W76" s="34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</row>
    <row r="77" spans="1:34" ht="22.95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"/>
      <c r="M77" s="3"/>
      <c r="N77" s="3"/>
      <c r="O77" s="27"/>
      <c r="P77" s="27"/>
      <c r="Q77" s="3"/>
      <c r="R77" s="3"/>
      <c r="S77" s="3"/>
      <c r="T77" s="3"/>
      <c r="U77" s="3"/>
      <c r="V77" s="27"/>
      <c r="W77" s="34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</row>
    <row r="78" spans="1:34" ht="22.95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"/>
      <c r="M78" s="3"/>
      <c r="N78" s="3"/>
      <c r="O78" s="27"/>
      <c r="P78" s="27"/>
      <c r="Q78" s="3"/>
      <c r="R78" s="3"/>
      <c r="S78" s="3"/>
      <c r="T78" s="3"/>
      <c r="U78" s="3"/>
      <c r="V78" s="27"/>
      <c r="W78" s="34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</row>
    <row r="79" spans="1:34" ht="22.95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"/>
      <c r="M79" s="3"/>
      <c r="N79" s="3"/>
      <c r="O79" s="27"/>
      <c r="P79" s="27"/>
      <c r="Q79" s="3"/>
      <c r="R79" s="3"/>
      <c r="S79" s="3"/>
      <c r="T79" s="3"/>
      <c r="U79" s="3"/>
      <c r="V79" s="27"/>
      <c r="W79" s="34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</row>
    <row r="80" spans="1:34" ht="22.95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"/>
      <c r="M80" s="3"/>
      <c r="N80" s="3"/>
      <c r="O80" s="27"/>
      <c r="P80" s="27"/>
      <c r="Q80" s="3"/>
      <c r="R80" s="3"/>
      <c r="S80" s="3"/>
      <c r="T80" s="3"/>
      <c r="U80" s="3"/>
      <c r="V80" s="27"/>
      <c r="W80" s="34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</row>
    <row r="81" spans="1:34" ht="22.95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"/>
      <c r="M81" s="3"/>
      <c r="N81" s="3"/>
      <c r="O81" s="27"/>
      <c r="P81" s="27"/>
      <c r="Q81" s="3"/>
      <c r="R81" s="3"/>
      <c r="S81" s="3"/>
      <c r="T81" s="3"/>
      <c r="U81" s="3"/>
      <c r="V81" s="27"/>
      <c r="W81" s="34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</row>
    <row r="82" spans="1:34" ht="22.95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"/>
      <c r="M82" s="3"/>
      <c r="N82" s="3"/>
      <c r="O82" s="27"/>
      <c r="P82" s="27"/>
      <c r="Q82" s="3"/>
      <c r="R82" s="3"/>
      <c r="S82" s="3"/>
      <c r="T82" s="3"/>
      <c r="U82" s="3"/>
      <c r="V82" s="27"/>
      <c r="W82" s="34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</row>
    <row r="83" spans="1:34" ht="22.95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"/>
      <c r="M83" s="3"/>
      <c r="N83" s="3"/>
      <c r="O83" s="27"/>
      <c r="P83" s="27"/>
      <c r="Q83" s="3"/>
      <c r="R83" s="3"/>
      <c r="S83" s="3"/>
      <c r="T83" s="3"/>
      <c r="U83" s="3"/>
      <c r="V83" s="27"/>
      <c r="W83" s="34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</row>
    <row r="84" spans="1:34" ht="22.95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AH84" si="8">IF(WEEKDAY(E$3)=2,_xlfn.ISOWEEKNUM(E$3),"")</f>
        <v/>
      </c>
      <c r="F84" s="28" t="str">
        <f t="shared" si="8"/>
        <v/>
      </c>
      <c r="G84" s="28" t="str">
        <f t="shared" si="8"/>
        <v/>
      </c>
      <c r="H84" s="29" t="str">
        <f t="shared" si="8"/>
        <v/>
      </c>
      <c r="I84" s="29" t="str">
        <f t="shared" si="8"/>
        <v/>
      </c>
      <c r="J84" s="28">
        <f t="shared" si="8"/>
        <v>50</v>
      </c>
      <c r="K84" s="28" t="str">
        <f t="shared" si="8"/>
        <v/>
      </c>
      <c r="L84" s="28" t="str">
        <f t="shared" si="8"/>
        <v/>
      </c>
      <c r="M84" s="28" t="str">
        <f t="shared" si="8"/>
        <v/>
      </c>
      <c r="N84" s="28" t="str">
        <f t="shared" si="8"/>
        <v/>
      </c>
      <c r="O84" s="29" t="str">
        <f t="shared" si="8"/>
        <v/>
      </c>
      <c r="P84" s="29" t="str">
        <f t="shared" si="8"/>
        <v/>
      </c>
      <c r="Q84" s="28">
        <f t="shared" si="8"/>
        <v>51</v>
      </c>
      <c r="R84" s="28" t="str">
        <f t="shared" si="8"/>
        <v/>
      </c>
      <c r="S84" s="28" t="str">
        <f t="shared" si="8"/>
        <v/>
      </c>
      <c r="T84" s="28" t="str">
        <f t="shared" si="8"/>
        <v/>
      </c>
      <c r="U84" s="28" t="str">
        <f t="shared" si="8"/>
        <v/>
      </c>
      <c r="V84" s="29" t="str">
        <f t="shared" si="8"/>
        <v/>
      </c>
      <c r="W84" s="33" t="str">
        <f t="shared" si="8"/>
        <v/>
      </c>
      <c r="X84" s="28">
        <f t="shared" si="8"/>
        <v>52</v>
      </c>
      <c r="Y84" s="28" t="str">
        <f t="shared" si="8"/>
        <v/>
      </c>
      <c r="Z84" s="28" t="str">
        <f t="shared" si="8"/>
        <v/>
      </c>
      <c r="AA84" s="28" t="str">
        <f t="shared" si="8"/>
        <v/>
      </c>
      <c r="AB84" s="29" t="str">
        <f t="shared" si="8"/>
        <v/>
      </c>
      <c r="AC84" s="29" t="str">
        <f t="shared" si="8"/>
        <v/>
      </c>
      <c r="AD84" s="29" t="str">
        <f t="shared" si="8"/>
        <v/>
      </c>
      <c r="AE84" s="28">
        <f t="shared" si="8"/>
        <v>53</v>
      </c>
      <c r="AF84" s="28" t="str">
        <f t="shared" si="8"/>
        <v/>
      </c>
      <c r="AG84" s="28" t="str">
        <f t="shared" si="8"/>
        <v/>
      </c>
      <c r="AH84" s="28" t="str">
        <f t="shared" si="8"/>
        <v/>
      </c>
    </row>
    <row r="85" spans="1:34" ht="22.95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"/>
      <c r="M85" s="3"/>
      <c r="N85" s="3"/>
      <c r="O85" s="27"/>
      <c r="P85" s="27"/>
      <c r="Q85" s="3"/>
      <c r="R85" s="3"/>
      <c r="S85" s="3"/>
      <c r="T85" s="3"/>
      <c r="U85" s="3"/>
      <c r="V85" s="27"/>
      <c r="W85" s="34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</row>
    <row r="86" spans="1:34" ht="22.95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"/>
      <c r="M86" s="3"/>
      <c r="N86" s="3"/>
      <c r="O86" s="27"/>
      <c r="P86" s="27"/>
      <c r="Q86" s="3"/>
      <c r="R86" s="3"/>
      <c r="S86" s="3"/>
      <c r="T86" s="3"/>
      <c r="U86" s="3"/>
      <c r="V86" s="27"/>
      <c r="W86" s="34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</row>
    <row r="87" spans="1:34" ht="22.95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"/>
      <c r="M87" s="3"/>
      <c r="N87" s="3"/>
      <c r="O87" s="27"/>
      <c r="P87" s="27"/>
      <c r="Q87" s="3"/>
      <c r="R87" s="3"/>
      <c r="S87" s="3"/>
      <c r="T87" s="3"/>
      <c r="U87" s="3"/>
      <c r="V87" s="27"/>
      <c r="W87" s="34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</row>
    <row r="88" spans="1:34" ht="22.95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"/>
      <c r="M88" s="3"/>
      <c r="N88" s="3"/>
      <c r="O88" s="27"/>
      <c r="P88" s="27"/>
      <c r="Q88" s="3"/>
      <c r="R88" s="3"/>
      <c r="S88" s="3"/>
      <c r="T88" s="3"/>
      <c r="U88" s="3"/>
      <c r="V88" s="27"/>
      <c r="W88" s="34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</row>
    <row r="89" spans="1:34" ht="22.95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"/>
      <c r="M89" s="3"/>
      <c r="N89" s="3"/>
      <c r="O89" s="27"/>
      <c r="P89" s="27"/>
      <c r="Q89" s="3"/>
      <c r="R89" s="3"/>
      <c r="S89" s="3"/>
      <c r="T89" s="3"/>
      <c r="U89" s="3"/>
      <c r="V89" s="27"/>
      <c r="W89" s="34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</row>
    <row r="90" spans="1:34" ht="22.95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"/>
      <c r="M90" s="3"/>
      <c r="N90" s="3"/>
      <c r="O90" s="27"/>
      <c r="P90" s="27"/>
      <c r="Q90" s="3"/>
      <c r="R90" s="3"/>
      <c r="S90" s="3"/>
      <c r="T90" s="3"/>
      <c r="U90" s="3"/>
      <c r="V90" s="27"/>
      <c r="W90" s="34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</row>
    <row r="91" spans="1:34" ht="22.95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"/>
      <c r="M91" s="3"/>
      <c r="N91" s="3"/>
      <c r="O91" s="27"/>
      <c r="P91" s="27"/>
      <c r="Q91" s="3"/>
      <c r="R91" s="3"/>
      <c r="S91" s="3"/>
      <c r="T91" s="3"/>
      <c r="U91" s="3"/>
      <c r="V91" s="27"/>
      <c r="W91" s="34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</row>
    <row r="92" spans="1:34" ht="22.95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"/>
      <c r="M92" s="3"/>
      <c r="N92" s="3"/>
      <c r="O92" s="27"/>
      <c r="P92" s="27"/>
      <c r="Q92" s="3"/>
      <c r="R92" s="3"/>
      <c r="S92" s="3"/>
      <c r="T92" s="3"/>
      <c r="U92" s="3"/>
      <c r="V92" s="27"/>
      <c r="W92" s="34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</row>
    <row r="93" spans="1:34" ht="22.95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"/>
      <c r="M93" s="3"/>
      <c r="N93" s="3"/>
      <c r="O93" s="27"/>
      <c r="P93" s="27"/>
      <c r="Q93" s="3"/>
      <c r="R93" s="3"/>
      <c r="S93" s="3"/>
      <c r="T93" s="3"/>
      <c r="U93" s="3"/>
      <c r="V93" s="27"/>
      <c r="W93" s="34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</row>
    <row r="94" spans="1:34" ht="22.95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AH94" si="9">IF(WEEKDAY(E$3)=2,_xlfn.ISOWEEKNUM(E$3),"")</f>
        <v/>
      </c>
      <c r="F94" s="28" t="str">
        <f t="shared" si="9"/>
        <v/>
      </c>
      <c r="G94" s="28" t="str">
        <f t="shared" si="9"/>
        <v/>
      </c>
      <c r="H94" s="29" t="str">
        <f t="shared" si="9"/>
        <v/>
      </c>
      <c r="I94" s="29" t="str">
        <f t="shared" si="9"/>
        <v/>
      </c>
      <c r="J94" s="28">
        <f t="shared" si="9"/>
        <v>50</v>
      </c>
      <c r="K94" s="28" t="str">
        <f t="shared" si="9"/>
        <v/>
      </c>
      <c r="L94" s="28" t="str">
        <f t="shared" si="9"/>
        <v/>
      </c>
      <c r="M94" s="28" t="str">
        <f t="shared" si="9"/>
        <v/>
      </c>
      <c r="N94" s="28" t="str">
        <f t="shared" si="9"/>
        <v/>
      </c>
      <c r="O94" s="29" t="str">
        <f t="shared" si="9"/>
        <v/>
      </c>
      <c r="P94" s="29" t="str">
        <f t="shared" si="9"/>
        <v/>
      </c>
      <c r="Q94" s="28">
        <f t="shared" si="9"/>
        <v>51</v>
      </c>
      <c r="R94" s="28" t="str">
        <f t="shared" si="9"/>
        <v/>
      </c>
      <c r="S94" s="28" t="str">
        <f t="shared" si="9"/>
        <v/>
      </c>
      <c r="T94" s="28" t="str">
        <f t="shared" si="9"/>
        <v/>
      </c>
      <c r="U94" s="28" t="str">
        <f t="shared" si="9"/>
        <v/>
      </c>
      <c r="V94" s="29" t="str">
        <f t="shared" si="9"/>
        <v/>
      </c>
      <c r="W94" s="33" t="str">
        <f t="shared" si="9"/>
        <v/>
      </c>
      <c r="X94" s="28">
        <f t="shared" si="9"/>
        <v>52</v>
      </c>
      <c r="Y94" s="28" t="str">
        <f t="shared" si="9"/>
        <v/>
      </c>
      <c r="Z94" s="28" t="str">
        <f t="shared" si="9"/>
        <v/>
      </c>
      <c r="AA94" s="28" t="str">
        <f t="shared" si="9"/>
        <v/>
      </c>
      <c r="AB94" s="29" t="str">
        <f t="shared" si="9"/>
        <v/>
      </c>
      <c r="AC94" s="29" t="str">
        <f t="shared" si="9"/>
        <v/>
      </c>
      <c r="AD94" s="29" t="str">
        <f t="shared" si="9"/>
        <v/>
      </c>
      <c r="AE94" s="28">
        <f t="shared" si="9"/>
        <v>53</v>
      </c>
      <c r="AF94" s="28" t="str">
        <f t="shared" si="9"/>
        <v/>
      </c>
      <c r="AG94" s="28" t="str">
        <f t="shared" si="9"/>
        <v/>
      </c>
      <c r="AH94" s="28" t="str">
        <f t="shared" si="9"/>
        <v/>
      </c>
    </row>
    <row r="95" spans="1:34" ht="22.95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"/>
      <c r="M95" s="3"/>
      <c r="N95" s="3"/>
      <c r="O95" s="27"/>
      <c r="P95" s="27"/>
      <c r="Q95" s="3"/>
      <c r="R95" s="3"/>
      <c r="S95" s="3"/>
      <c r="T95" s="3"/>
      <c r="U95" s="3"/>
      <c r="V95" s="27"/>
      <c r="W95" s="34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</row>
    <row r="96" spans="1:34" ht="22.95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"/>
      <c r="M96" s="3"/>
      <c r="N96" s="3"/>
      <c r="O96" s="27"/>
      <c r="P96" s="27"/>
      <c r="Q96" s="3"/>
      <c r="R96" s="3"/>
      <c r="S96" s="3"/>
      <c r="T96" s="3"/>
      <c r="U96" s="3"/>
      <c r="V96" s="27"/>
      <c r="W96" s="34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</row>
    <row r="97" spans="1:34" ht="22.95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"/>
      <c r="M97" s="3"/>
      <c r="N97" s="3"/>
      <c r="O97" s="27"/>
      <c r="P97" s="27"/>
      <c r="Q97" s="3"/>
      <c r="R97" s="3"/>
      <c r="S97" s="3"/>
      <c r="T97" s="3"/>
      <c r="U97" s="3"/>
      <c r="V97" s="27"/>
      <c r="W97" s="34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</row>
    <row r="98" spans="1:34" ht="22.95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"/>
      <c r="M98" s="3"/>
      <c r="N98" s="3"/>
      <c r="O98" s="27"/>
      <c r="P98" s="27"/>
      <c r="Q98" s="3"/>
      <c r="R98" s="3"/>
      <c r="S98" s="3"/>
      <c r="T98" s="3"/>
      <c r="U98" s="3"/>
      <c r="V98" s="27"/>
      <c r="W98" s="34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</row>
    <row r="99" spans="1:34" ht="22.95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"/>
      <c r="M99" s="3"/>
      <c r="N99" s="3"/>
      <c r="O99" s="27"/>
      <c r="P99" s="27"/>
      <c r="Q99" s="3"/>
      <c r="R99" s="3"/>
      <c r="S99" s="3"/>
      <c r="T99" s="3"/>
      <c r="U99" s="3"/>
      <c r="V99" s="27"/>
      <c r="W99" s="34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</row>
    <row r="100" spans="1:34" ht="22.95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"/>
      <c r="M100" s="3"/>
      <c r="N100" s="3"/>
      <c r="O100" s="27"/>
      <c r="P100" s="27"/>
      <c r="Q100" s="3"/>
      <c r="R100" s="3"/>
      <c r="S100" s="3"/>
      <c r="T100" s="3"/>
      <c r="U100" s="3"/>
      <c r="V100" s="27"/>
      <c r="W100" s="34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</row>
    <row r="101" spans="1:34" ht="22.95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"/>
      <c r="M101" s="3"/>
      <c r="N101" s="3"/>
      <c r="O101" s="27"/>
      <c r="P101" s="27"/>
      <c r="Q101" s="3"/>
      <c r="R101" s="3"/>
      <c r="S101" s="3"/>
      <c r="T101" s="3"/>
      <c r="U101" s="3"/>
      <c r="V101" s="27"/>
      <c r="W101" s="34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</row>
    <row r="102" spans="1:34" ht="22.95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"/>
      <c r="M102" s="3"/>
      <c r="N102" s="3"/>
      <c r="O102" s="27"/>
      <c r="P102" s="27"/>
      <c r="Q102" s="3"/>
      <c r="R102" s="3"/>
      <c r="S102" s="3"/>
      <c r="T102" s="3"/>
      <c r="U102" s="3"/>
      <c r="V102" s="27"/>
      <c r="W102" s="34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</row>
    <row r="103" spans="1:34" ht="22.95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"/>
      <c r="M103" s="3"/>
      <c r="N103" s="3"/>
      <c r="O103" s="27"/>
      <c r="P103" s="27"/>
      <c r="Q103" s="3"/>
      <c r="R103" s="3"/>
      <c r="S103" s="3"/>
      <c r="T103" s="3"/>
      <c r="U103" s="3"/>
      <c r="V103" s="27"/>
      <c r="W103" s="34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</row>
    <row r="104" spans="1:34" ht="22.95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AH104" si="10">IF(WEEKDAY(E$3)=2,_xlfn.ISOWEEKNUM(E$3),"")</f>
        <v/>
      </c>
      <c r="F104" s="28" t="str">
        <f t="shared" si="10"/>
        <v/>
      </c>
      <c r="G104" s="28" t="str">
        <f t="shared" si="10"/>
        <v/>
      </c>
      <c r="H104" s="29" t="str">
        <f t="shared" si="10"/>
        <v/>
      </c>
      <c r="I104" s="29" t="str">
        <f t="shared" si="10"/>
        <v/>
      </c>
      <c r="J104" s="28">
        <f t="shared" si="10"/>
        <v>50</v>
      </c>
      <c r="K104" s="28" t="str">
        <f t="shared" si="10"/>
        <v/>
      </c>
      <c r="L104" s="28" t="str">
        <f t="shared" si="10"/>
        <v/>
      </c>
      <c r="M104" s="28" t="str">
        <f t="shared" si="10"/>
        <v/>
      </c>
      <c r="N104" s="28" t="str">
        <f t="shared" si="10"/>
        <v/>
      </c>
      <c r="O104" s="29" t="str">
        <f t="shared" si="10"/>
        <v/>
      </c>
      <c r="P104" s="29" t="str">
        <f t="shared" si="10"/>
        <v/>
      </c>
      <c r="Q104" s="28">
        <f t="shared" si="10"/>
        <v>51</v>
      </c>
      <c r="R104" s="28" t="str">
        <f t="shared" si="10"/>
        <v/>
      </c>
      <c r="S104" s="28" t="str">
        <f t="shared" si="10"/>
        <v/>
      </c>
      <c r="T104" s="28" t="str">
        <f t="shared" si="10"/>
        <v/>
      </c>
      <c r="U104" s="28" t="str">
        <f t="shared" si="10"/>
        <v/>
      </c>
      <c r="V104" s="29" t="str">
        <f t="shared" si="10"/>
        <v/>
      </c>
      <c r="W104" s="33" t="str">
        <f t="shared" si="10"/>
        <v/>
      </c>
      <c r="X104" s="28">
        <f t="shared" si="10"/>
        <v>52</v>
      </c>
      <c r="Y104" s="28" t="str">
        <f t="shared" si="10"/>
        <v/>
      </c>
      <c r="Z104" s="28" t="str">
        <f t="shared" si="10"/>
        <v/>
      </c>
      <c r="AA104" s="28" t="str">
        <f t="shared" si="10"/>
        <v/>
      </c>
      <c r="AB104" s="29" t="str">
        <f t="shared" si="10"/>
        <v/>
      </c>
      <c r="AC104" s="29" t="str">
        <f t="shared" si="10"/>
        <v/>
      </c>
      <c r="AD104" s="29" t="str">
        <f t="shared" si="10"/>
        <v/>
      </c>
      <c r="AE104" s="28">
        <f t="shared" si="10"/>
        <v>53</v>
      </c>
      <c r="AF104" s="28" t="str">
        <f t="shared" si="10"/>
        <v/>
      </c>
      <c r="AG104" s="28" t="str">
        <f t="shared" si="10"/>
        <v/>
      </c>
      <c r="AH104" s="28" t="str">
        <f t="shared" si="10"/>
        <v/>
      </c>
    </row>
    <row r="105" spans="1:34" ht="22.95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"/>
      <c r="M105" s="3"/>
      <c r="N105" s="3"/>
      <c r="O105" s="27"/>
      <c r="P105" s="27"/>
      <c r="Q105" s="3"/>
      <c r="R105" s="3"/>
      <c r="S105" s="3"/>
      <c r="T105" s="3"/>
      <c r="U105" s="3"/>
      <c r="V105" s="27"/>
      <c r="W105" s="34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</row>
    <row r="106" spans="1:34" ht="22.95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"/>
      <c r="M106" s="3"/>
      <c r="N106" s="3"/>
      <c r="O106" s="27"/>
      <c r="P106" s="27"/>
      <c r="Q106" s="3"/>
      <c r="R106" s="3"/>
      <c r="S106" s="3"/>
      <c r="T106" s="3"/>
      <c r="U106" s="3"/>
      <c r="V106" s="27"/>
      <c r="W106" s="34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</row>
    <row r="107" spans="1:34" ht="22.95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"/>
      <c r="M107" s="3"/>
      <c r="N107" s="3"/>
      <c r="O107" s="27"/>
      <c r="P107" s="27"/>
      <c r="Q107" s="3"/>
      <c r="R107" s="3"/>
      <c r="S107" s="3"/>
      <c r="T107" s="3"/>
      <c r="U107" s="3"/>
      <c r="V107" s="27"/>
      <c r="W107" s="34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</row>
    <row r="108" spans="1:34" ht="22.95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"/>
      <c r="M108" s="3"/>
      <c r="N108" s="3"/>
      <c r="O108" s="27"/>
      <c r="P108" s="27"/>
      <c r="Q108" s="3"/>
      <c r="R108" s="3"/>
      <c r="S108" s="3"/>
      <c r="T108" s="3"/>
      <c r="U108" s="3"/>
      <c r="V108" s="27"/>
      <c r="W108" s="34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</row>
    <row r="109" spans="1:34" ht="22.95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"/>
      <c r="M109" s="3"/>
      <c r="N109" s="3"/>
      <c r="O109" s="27"/>
      <c r="P109" s="27"/>
      <c r="Q109" s="3"/>
      <c r="R109" s="3"/>
      <c r="S109" s="3"/>
      <c r="T109" s="3"/>
      <c r="U109" s="3"/>
      <c r="V109" s="27"/>
      <c r="W109" s="34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</row>
    <row r="110" spans="1:34" ht="22.95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"/>
      <c r="M110" s="3"/>
      <c r="N110" s="3"/>
      <c r="O110" s="27"/>
      <c r="P110" s="27"/>
      <c r="Q110" s="3"/>
      <c r="R110" s="3"/>
      <c r="S110" s="3"/>
      <c r="T110" s="3"/>
      <c r="U110" s="3"/>
      <c r="V110" s="27"/>
      <c r="W110" s="34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</row>
    <row r="111" spans="1:34" ht="22.95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"/>
      <c r="M111" s="3"/>
      <c r="N111" s="3"/>
      <c r="O111" s="27"/>
      <c r="P111" s="27"/>
      <c r="Q111" s="3"/>
      <c r="R111" s="3"/>
      <c r="S111" s="3"/>
      <c r="T111" s="3"/>
      <c r="U111" s="3"/>
      <c r="V111" s="27"/>
      <c r="W111" s="34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</row>
    <row r="112" spans="1:34" ht="22.95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"/>
      <c r="M112" s="3"/>
      <c r="N112" s="3"/>
      <c r="O112" s="27"/>
      <c r="P112" s="27"/>
      <c r="Q112" s="3"/>
      <c r="R112" s="3"/>
      <c r="S112" s="3"/>
      <c r="T112" s="3"/>
      <c r="U112" s="3"/>
      <c r="V112" s="27"/>
      <c r="W112" s="34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</row>
    <row r="113" spans="1:375" ht="22.95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"/>
      <c r="M113" s="3"/>
      <c r="N113" s="3"/>
      <c r="O113" s="27"/>
      <c r="P113" s="27"/>
      <c r="Q113" s="3"/>
      <c r="R113" s="3"/>
      <c r="S113" s="3"/>
      <c r="T113" s="3"/>
      <c r="U113" s="3"/>
      <c r="V113" s="27"/>
      <c r="W113" s="34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</row>
    <row r="114" spans="1:375" ht="22.95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AH114" si="11">IF(WEEKDAY(E$3)=2,_xlfn.ISOWEEKNUM(E$3),"")</f>
        <v/>
      </c>
      <c r="F114" s="28" t="str">
        <f t="shared" si="11"/>
        <v/>
      </c>
      <c r="G114" s="28" t="str">
        <f t="shared" si="11"/>
        <v/>
      </c>
      <c r="H114" s="29" t="str">
        <f t="shared" si="11"/>
        <v/>
      </c>
      <c r="I114" s="29" t="str">
        <f t="shared" si="11"/>
        <v/>
      </c>
      <c r="J114" s="28">
        <f t="shared" si="11"/>
        <v>50</v>
      </c>
      <c r="K114" s="28" t="str">
        <f t="shared" si="11"/>
        <v/>
      </c>
      <c r="L114" s="28" t="str">
        <f t="shared" si="11"/>
        <v/>
      </c>
      <c r="M114" s="28" t="str">
        <f t="shared" si="11"/>
        <v/>
      </c>
      <c r="N114" s="28" t="str">
        <f t="shared" si="11"/>
        <v/>
      </c>
      <c r="O114" s="29" t="str">
        <f t="shared" si="11"/>
        <v/>
      </c>
      <c r="P114" s="29" t="str">
        <f t="shared" si="11"/>
        <v/>
      </c>
      <c r="Q114" s="28">
        <f t="shared" si="11"/>
        <v>51</v>
      </c>
      <c r="R114" s="28" t="str">
        <f t="shared" si="11"/>
        <v/>
      </c>
      <c r="S114" s="28" t="str">
        <f t="shared" si="11"/>
        <v/>
      </c>
      <c r="T114" s="28" t="str">
        <f t="shared" si="11"/>
        <v/>
      </c>
      <c r="U114" s="28" t="str">
        <f t="shared" si="11"/>
        <v/>
      </c>
      <c r="V114" s="29" t="str">
        <f t="shared" si="11"/>
        <v/>
      </c>
      <c r="W114" s="33" t="str">
        <f t="shared" si="11"/>
        <v/>
      </c>
      <c r="X114" s="28">
        <f t="shared" si="11"/>
        <v>52</v>
      </c>
      <c r="Y114" s="28" t="str">
        <f t="shared" si="11"/>
        <v/>
      </c>
      <c r="Z114" s="28" t="str">
        <f t="shared" si="11"/>
        <v/>
      </c>
      <c r="AA114" s="28" t="str">
        <f t="shared" si="11"/>
        <v/>
      </c>
      <c r="AB114" s="29" t="str">
        <f t="shared" si="11"/>
        <v/>
      </c>
      <c r="AC114" s="29" t="str">
        <f t="shared" si="11"/>
        <v/>
      </c>
      <c r="AD114" s="29" t="str">
        <f t="shared" si="11"/>
        <v/>
      </c>
      <c r="AE114" s="28">
        <f t="shared" si="11"/>
        <v>53</v>
      </c>
      <c r="AF114" s="28" t="str">
        <f t="shared" si="11"/>
        <v/>
      </c>
      <c r="AG114" s="28" t="str">
        <f t="shared" si="11"/>
        <v/>
      </c>
      <c r="AH114" s="28" t="str">
        <f t="shared" si="11"/>
        <v/>
      </c>
    </row>
    <row r="115" spans="1:375" ht="22.95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"/>
      <c r="M115" s="3"/>
      <c r="N115" s="3"/>
      <c r="O115" s="27"/>
      <c r="P115" s="27"/>
      <c r="Q115" s="3"/>
      <c r="R115" s="3"/>
      <c r="S115" s="3"/>
      <c r="T115" s="3"/>
      <c r="U115" s="3"/>
      <c r="V115" s="27"/>
      <c r="W115" s="34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</row>
    <row r="116" spans="1:375" ht="22.95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"/>
      <c r="M116" s="3"/>
      <c r="N116" s="3"/>
      <c r="O116" s="27"/>
      <c r="P116" s="27"/>
      <c r="Q116" s="3"/>
      <c r="R116" s="3"/>
      <c r="S116" s="3"/>
      <c r="T116" s="3"/>
      <c r="U116" s="3"/>
      <c r="V116" s="27"/>
      <c r="W116" s="34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</row>
    <row r="117" spans="1:375" ht="22.95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"/>
      <c r="M117" s="3"/>
      <c r="N117" s="3"/>
      <c r="O117" s="27"/>
      <c r="P117" s="27"/>
      <c r="Q117" s="3"/>
      <c r="R117" s="3"/>
      <c r="S117" s="3"/>
      <c r="T117" s="3"/>
      <c r="U117" s="3"/>
      <c r="V117" s="27"/>
      <c r="W117" s="34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</row>
    <row r="118" spans="1:375" ht="22.95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"/>
      <c r="M118" s="3"/>
      <c r="N118" s="3"/>
      <c r="O118" s="27"/>
      <c r="P118" s="27"/>
      <c r="Q118" s="3"/>
      <c r="R118" s="3"/>
      <c r="S118" s="3"/>
      <c r="T118" s="3"/>
      <c r="U118" s="3"/>
      <c r="V118" s="27"/>
      <c r="W118" s="34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</row>
    <row r="119" spans="1:375" ht="22.95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"/>
      <c r="M119" s="3"/>
      <c r="N119" s="3"/>
      <c r="O119" s="27"/>
      <c r="P119" s="27"/>
      <c r="Q119" s="3"/>
      <c r="R119" s="3"/>
      <c r="S119" s="3"/>
      <c r="T119" s="3"/>
      <c r="U119" s="3"/>
      <c r="V119" s="27"/>
      <c r="W119" s="34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</row>
    <row r="120" spans="1:375" ht="22.95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"/>
      <c r="M120" s="3"/>
      <c r="N120" s="3"/>
      <c r="O120" s="27"/>
      <c r="P120" s="27"/>
      <c r="Q120" s="3"/>
      <c r="R120" s="3"/>
      <c r="S120" s="3"/>
      <c r="T120" s="3"/>
      <c r="U120" s="3"/>
      <c r="V120" s="27"/>
      <c r="W120" s="34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</row>
    <row r="121" spans="1:375" ht="22.95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"/>
      <c r="M121" s="3"/>
      <c r="N121" s="3"/>
      <c r="O121" s="27"/>
      <c r="P121" s="27"/>
      <c r="Q121" s="3"/>
      <c r="R121" s="3"/>
      <c r="S121" s="3"/>
      <c r="T121" s="3"/>
      <c r="U121" s="3"/>
      <c r="V121" s="27"/>
      <c r="W121" s="34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</row>
    <row r="122" spans="1:375" ht="22.95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"/>
      <c r="M122" s="3"/>
      <c r="N122" s="3"/>
      <c r="O122" s="27"/>
      <c r="P122" s="27"/>
      <c r="Q122" s="3"/>
      <c r="R122" s="3"/>
      <c r="S122" s="3"/>
      <c r="T122" s="3"/>
      <c r="U122" s="3"/>
      <c r="V122" s="27"/>
      <c r="W122" s="34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</row>
    <row r="123" spans="1:375" ht="22.95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"/>
      <c r="M123" s="3"/>
      <c r="N123" s="3"/>
      <c r="O123" s="27"/>
      <c r="P123" s="27"/>
      <c r="Q123" s="3"/>
      <c r="R123" s="3"/>
      <c r="S123" s="3"/>
      <c r="T123" s="3"/>
      <c r="U123" s="3"/>
      <c r="V123" s="27"/>
      <c r="W123" s="34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</row>
    <row r="124" spans="1:375" ht="22.95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AH124" si="12">IF(WEEKDAY(E$3)=2,_xlfn.ISOWEEKNUM(E$3),"")</f>
        <v/>
      </c>
      <c r="F124" s="28" t="str">
        <f t="shared" si="12"/>
        <v/>
      </c>
      <c r="G124" s="28" t="str">
        <f t="shared" si="12"/>
        <v/>
      </c>
      <c r="H124" s="29" t="str">
        <f t="shared" si="12"/>
        <v/>
      </c>
      <c r="I124" s="29" t="str">
        <f t="shared" si="12"/>
        <v/>
      </c>
      <c r="J124" s="28">
        <f t="shared" si="12"/>
        <v>50</v>
      </c>
      <c r="K124" s="28" t="str">
        <f t="shared" si="12"/>
        <v/>
      </c>
      <c r="L124" s="28" t="str">
        <f t="shared" si="12"/>
        <v/>
      </c>
      <c r="M124" s="28" t="str">
        <f t="shared" si="12"/>
        <v/>
      </c>
      <c r="N124" s="28" t="str">
        <f t="shared" si="12"/>
        <v/>
      </c>
      <c r="O124" s="29" t="str">
        <f t="shared" si="12"/>
        <v/>
      </c>
      <c r="P124" s="29" t="str">
        <f t="shared" si="12"/>
        <v/>
      </c>
      <c r="Q124" s="28">
        <f t="shared" si="12"/>
        <v>51</v>
      </c>
      <c r="R124" s="28" t="str">
        <f t="shared" si="12"/>
        <v/>
      </c>
      <c r="S124" s="28" t="str">
        <f t="shared" si="12"/>
        <v/>
      </c>
      <c r="T124" s="28" t="str">
        <f t="shared" si="12"/>
        <v/>
      </c>
      <c r="U124" s="28" t="str">
        <f t="shared" si="12"/>
        <v/>
      </c>
      <c r="V124" s="29" t="str">
        <f t="shared" si="12"/>
        <v/>
      </c>
      <c r="W124" s="33" t="str">
        <f t="shared" si="12"/>
        <v/>
      </c>
      <c r="X124" s="28">
        <f t="shared" si="12"/>
        <v>52</v>
      </c>
      <c r="Y124" s="28" t="str">
        <f t="shared" si="12"/>
        <v/>
      </c>
      <c r="Z124" s="28" t="str">
        <f t="shared" si="12"/>
        <v/>
      </c>
      <c r="AA124" s="28" t="str">
        <f t="shared" si="12"/>
        <v/>
      </c>
      <c r="AB124" s="29" t="str">
        <f t="shared" si="12"/>
        <v/>
      </c>
      <c r="AC124" s="29" t="str">
        <f t="shared" si="12"/>
        <v/>
      </c>
      <c r="AD124" s="29" t="str">
        <f t="shared" si="12"/>
        <v/>
      </c>
      <c r="AE124" s="28">
        <f t="shared" si="12"/>
        <v>53</v>
      </c>
      <c r="AF124" s="28" t="str">
        <f t="shared" si="12"/>
        <v/>
      </c>
      <c r="AG124" s="28" t="str">
        <f t="shared" si="12"/>
        <v/>
      </c>
      <c r="AH124" s="28" t="str">
        <f t="shared" si="12"/>
        <v/>
      </c>
    </row>
    <row r="125" spans="1:375" ht="22.95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"/>
      <c r="M125" s="3"/>
      <c r="N125" s="3"/>
      <c r="O125" s="27"/>
      <c r="P125" s="27"/>
      <c r="Q125" s="3"/>
      <c r="R125" s="3"/>
      <c r="S125" s="3"/>
      <c r="T125" s="3"/>
      <c r="U125" s="3"/>
      <c r="V125" s="27"/>
      <c r="W125" s="34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1" r:id="rId4" name="ComboBox2">
          <controlPr defaultSize="0" autoLine="0" r:id="rId5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678180</xdr:colOff>
                <xdr:row>0</xdr:row>
                <xdr:rowOff>266700</xdr:rowOff>
              </to>
            </anchor>
          </controlPr>
        </control>
      </mc:Choice>
      <mc:Fallback>
        <control shapeId="1241" r:id="rId4" name="ComboBox2"/>
      </mc:Fallback>
    </mc:AlternateContent>
    <mc:AlternateContent xmlns:mc="http://schemas.openxmlformats.org/markup-compatibility/2006">
      <mc:Choice Requires="x14">
        <control shapeId="1240" r:id="rId6" name="ComboBox1">
          <controlPr defaultSize="0" autoLine="0" r:id="rId7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670560</xdr:colOff>
                <xdr:row>0</xdr:row>
                <xdr:rowOff>525780</xdr:rowOff>
              </to>
            </anchor>
          </controlPr>
        </control>
      </mc:Choice>
      <mc:Fallback>
        <control shapeId="1240" r:id="rId6" name="ComboBox1"/>
      </mc:Fallback>
    </mc:AlternateContent>
    <mc:AlternateContent xmlns:mc="http://schemas.openxmlformats.org/markup-compatibility/2006">
      <mc:Choice Requires="x14">
        <control shapeId="2826" r:id="rId8" name="ComboBox3">
          <controlPr defaultSize="0" autoLine="0" r:id="rId9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160020</xdr:colOff>
                <xdr:row>0</xdr:row>
                <xdr:rowOff>403860</xdr:rowOff>
              </to>
            </anchor>
          </controlPr>
        </control>
      </mc:Choice>
      <mc:Fallback>
        <control shapeId="2826" r:id="rId8" name="ComboBox3"/>
      </mc:Fallback>
    </mc:AlternateContent>
    <mc:AlternateContent xmlns:mc="http://schemas.openxmlformats.org/markup-compatibility/2006">
      <mc:Choice Requires="x14">
        <control shapeId="4214" r:id="rId10" name="CommandButton1">
          <controlPr defaultSize="0" autoLine="0" autoPict="0" r:id="rId11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10" name="CommandButton1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Axel</cp:lastModifiedBy>
  <cp:lastPrinted>2020-12-09T12:47:45Z</cp:lastPrinted>
  <dcterms:created xsi:type="dcterms:W3CDTF">2015-05-13T13:15:15Z</dcterms:created>
  <dcterms:modified xsi:type="dcterms:W3CDTF">2020-12-20T20:44:12Z</dcterms:modified>
</cp:coreProperties>
</file>