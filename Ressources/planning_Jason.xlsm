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on\Desktop\Institut G4\Cours\Projet\E-commerce\eco-service\Ressources\"/>
    </mc:Choice>
  </mc:AlternateContent>
  <xr:revisionPtr revIDLastSave="0" documentId="13_ncr:1_{88F3D9F6-F223-4ACD-A64D-032D5961B22D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7" l="1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7" i="7"/>
  <c r="F3" i="7"/>
  <c r="H8" i="7"/>
  <c r="F2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CF4A4059-8EA5-433F-BE9D-8F66CFB6C482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4C1C5527-F7FD-4152-BF75-466B0F5EF3F6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<sst xmlns="http://schemas.openxmlformats.org/spreadsheetml/2006/main" count="51" uniqueCount="33">
  <si>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</si>
  <si>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</si>
  <si>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</si>
  <si>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</si>
  <si>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</si>
  <si>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</si>
  <si>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</si>
  <si>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</si>
  <si>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</si>
  <si>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</si>
  <si>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</si>
  <si>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</si>
  <si>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</si>
  <si>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Création navbar</t>
  </si>
  <si>
    <t>1 jour</t>
  </si>
  <si>
    <t>Création logo</t>
  </si>
  <si>
    <t>Création page index (accueil)</t>
  </si>
  <si>
    <t>Création page présentation</t>
  </si>
  <si>
    <t>Création page contact</t>
  </si>
  <si>
    <t>Insertion contenu page d'accueil</t>
  </si>
  <si>
    <t>Insertion contenu page présentation</t>
  </si>
  <si>
    <t>Insertion contenu page contact</t>
  </si>
  <si>
    <t>Création page aide</t>
  </si>
  <si>
    <t>insetion page aide</t>
  </si>
  <si>
    <t>Création page connexion/inscription</t>
  </si>
  <si>
    <t>Insertion page connexion/inscription</t>
  </si>
  <si>
    <t>Mock-ups page accueil</t>
  </si>
  <si>
    <t>Mock-ups page présentation</t>
  </si>
  <si>
    <t>Mock-ups page conctatez-nous</t>
  </si>
  <si>
    <t>Mock-ups page connexion/inscription 1</t>
  </si>
  <si>
    <t>Mock-ups page connexion/inscription 2</t>
  </si>
  <si>
    <t>Insertion page contact</t>
  </si>
  <si>
    <t>Modification page accueil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</si>
</sst>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  <xf numFmtId="9" fontId="0" fillId="0" borderId="9" xfId="0" applyNumberFormat="1" applyBorder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685800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693420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175260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B23" sqref="B23"/>
    </sheetView>
  </sheetViews>
  <sheetFormatPr baseColWidth="10" defaultRowHeight="14.4" x14ac:dyDescent="0.3"/>
  <cols>
    <col min="1" max="1" width="6.5546875" customWidth="1"/>
    <col min="2" max="2" width="20.88671875" style="10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10" t="s">
        <v>15</v>
      </c>
      <c r="C2" s="37"/>
      <c r="D2" s="38">
        <v>44172</v>
      </c>
      <c r="E2" s="35" t="s">
        <v>14</v>
      </c>
      <c r="F2" s="39" t="e">
        <f t="shared" ref="F2:F8" ca="1" si="0">WORKDAY(D2,E2-1,tferies(YEAR(D2)))</f>
        <v>#VALUE!</v>
      </c>
      <c r="G2" s="40">
        <v>1</v>
      </c>
      <c r="H2" s="47" t="e">
        <f>IF(D2G2&gt;0,WORKDAY(D2,(E2*G2)-1,tferies(YEAR(D2))),"")</f>
        <v>#NAME?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13</v>
      </c>
      <c r="C3" s="37"/>
      <c r="D3" s="38">
        <v>44172</v>
      </c>
      <c r="E3" s="35" t="s">
        <v>14</v>
      </c>
      <c r="F3" s="39" t="e">
        <f t="shared" ca="1" si="0"/>
        <v>#VALUE!</v>
      </c>
      <c r="G3" s="40">
        <v>1</v>
      </c>
      <c r="H3" s="47" t="e">
        <f t="shared" ref="H3:H9" ca="1" si="1">IF(G3&gt;0,WORKDAY(D3,(E3*G3)-1,tferies(YEAR(D3))),"")</f>
        <v>#VALUE!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16</v>
      </c>
      <c r="C4" s="37"/>
      <c r="D4" s="38">
        <v>44172</v>
      </c>
      <c r="E4" s="35" t="s">
        <v>14</v>
      </c>
      <c r="F4" s="39" t="e">
        <f t="shared" ca="1" si="0"/>
        <v>#VALUE!</v>
      </c>
      <c r="G4" s="40">
        <v>1</v>
      </c>
      <c r="H4" s="47" t="e">
        <f t="shared" ca="1" si="1"/>
        <v>#VALUE!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17</v>
      </c>
      <c r="C5" s="37"/>
      <c r="D5" s="38">
        <v>44539</v>
      </c>
      <c r="E5" s="35" t="s">
        <v>14</v>
      </c>
      <c r="F5" s="39" t="e">
        <f t="shared" ca="1" si="0"/>
        <v>#VALUE!</v>
      </c>
      <c r="G5" s="40">
        <v>1</v>
      </c>
      <c r="H5" s="47" t="e">
        <f t="shared" ca="1" si="1"/>
        <v>#VALUE!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18</v>
      </c>
      <c r="C6" s="37"/>
      <c r="D6" s="38">
        <v>44539</v>
      </c>
      <c r="E6" s="35" t="s">
        <v>14</v>
      </c>
      <c r="F6" s="39" t="e">
        <f t="shared" ca="1" si="0"/>
        <v>#VALUE!</v>
      </c>
      <c r="G6" s="40">
        <v>1</v>
      </c>
      <c r="H6" s="47" t="e">
        <f t="shared" ca="1" si="1"/>
        <v>#VALUE!</v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 t="s">
        <v>19</v>
      </c>
      <c r="C7" s="37"/>
      <c r="D7" s="38">
        <v>44174</v>
      </c>
      <c r="E7" s="35" t="s">
        <v>14</v>
      </c>
      <c r="F7" s="39" t="e">
        <f t="shared" ca="1" si="0"/>
        <v>#VALUE!</v>
      </c>
      <c r="G7" s="40">
        <v>0.1</v>
      </c>
      <c r="H7" s="47" t="e">
        <f t="shared" ca="1" si="1"/>
        <v>#VALUE!</v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 t="s">
        <v>20</v>
      </c>
      <c r="C8" s="37"/>
      <c r="D8" s="38">
        <v>44174</v>
      </c>
      <c r="E8" s="35" t="s">
        <v>14</v>
      </c>
      <c r="F8" s="39" t="e">
        <f t="shared" ca="1" si="0"/>
        <v>#VALUE!</v>
      </c>
      <c r="G8" s="40">
        <v>0.9</v>
      </c>
      <c r="H8" s="47" t="e">
        <f t="shared" ca="1" si="1"/>
        <v>#VALUE!</v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 t="s">
        <v>21</v>
      </c>
      <c r="C9" s="37"/>
      <c r="D9" s="38">
        <v>44174</v>
      </c>
      <c r="E9" s="35" t="s">
        <v>14</v>
      </c>
      <c r="F9" s="39" t="e">
        <f ca="1">WORKDAY(D9,E9-1,tferies(YEAR(D9)))</f>
        <v>#VALUE!</v>
      </c>
      <c r="G9" s="40">
        <v>0.7</v>
      </c>
      <c r="H9" s="47" t="e">
        <f t="shared" ca="1" si="1"/>
        <v>#VALUE!</v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B10" s="36"/>
      <c r="C10" s="37"/>
      <c r="D10" s="38"/>
      <c r="E10" s="35"/>
      <c r="F10" s="39"/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 t="s">
        <v>22</v>
      </c>
      <c r="C11" s="41"/>
      <c r="D11" s="39">
        <v>44183</v>
      </c>
      <c r="E11" s="35" t="s">
        <v>14</v>
      </c>
      <c r="F11" s="41"/>
      <c r="G11" s="55">
        <v>1</v>
      </c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 t="s">
        <v>23</v>
      </c>
      <c r="C12" s="41"/>
      <c r="D12" s="39">
        <v>44183</v>
      </c>
      <c r="E12" s="35" t="s">
        <v>14</v>
      </c>
      <c r="F12" s="41"/>
      <c r="G12" s="55">
        <v>0.1</v>
      </c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 t="s">
        <v>24</v>
      </c>
      <c r="C13" s="41"/>
      <c r="D13" s="39">
        <v>44183</v>
      </c>
      <c r="E13" s="35" t="s">
        <v>14</v>
      </c>
      <c r="F13" s="41"/>
      <c r="G13" s="55">
        <v>1</v>
      </c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 t="s">
        <v>25</v>
      </c>
      <c r="C14" s="41"/>
      <c r="D14" s="39">
        <v>44183</v>
      </c>
      <c r="E14" s="35" t="s">
        <v>14</v>
      </c>
      <c r="F14" s="41"/>
      <c r="G14" s="55">
        <v>0.4</v>
      </c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 t="s">
        <v>26</v>
      </c>
      <c r="C15" s="41"/>
      <c r="D15" s="39">
        <v>44183</v>
      </c>
      <c r="E15" s="35" t="s">
        <v>14</v>
      </c>
      <c r="F15" s="41"/>
      <c r="G15" s="55">
        <v>1</v>
      </c>
      <c r="H15" s="49"/>
    </row>
    <row r="16" spans="1:34" x14ac:dyDescent="0.3">
      <c r="A16" s="46">
        <f t="shared" si="3"/>
        <v>15</v>
      </c>
      <c r="B16" s="42" t="s">
        <v>27</v>
      </c>
      <c r="C16" s="41"/>
      <c r="D16" s="42">
        <v>44183</v>
      </c>
      <c r="E16" s="42" t="s">
        <v>14</v>
      </c>
      <c r="F16" s="42"/>
      <c r="G16" s="55">
        <v>1</v>
      </c>
      <c r="H16" s="49"/>
    </row>
    <row r="17" spans="1:32" x14ac:dyDescent="0.3">
      <c r="A17" s="46">
        <f t="shared" si="3"/>
        <v>16</v>
      </c>
      <c r="B17" s="42" t="s">
        <v>28</v>
      </c>
      <c r="C17" s="41"/>
      <c r="D17" s="39">
        <v>44183</v>
      </c>
      <c r="E17" s="35" t="s">
        <v>14</v>
      </c>
      <c r="F17" s="41"/>
      <c r="G17" s="55">
        <v>1</v>
      </c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 t="s">
        <v>29</v>
      </c>
      <c r="C18" s="41"/>
      <c r="D18" s="39">
        <v>44183</v>
      </c>
      <c r="E18" s="35" t="s">
        <v>14</v>
      </c>
      <c r="F18" s="41"/>
      <c r="G18" s="55">
        <v>1</v>
      </c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 t="s">
        <v>30</v>
      </c>
      <c r="C19" s="41"/>
      <c r="D19" s="39">
        <v>44183</v>
      </c>
      <c r="E19" s="35" t="s">
        <v>14</v>
      </c>
      <c r="F19" s="41"/>
      <c r="G19" s="55">
        <v>1</v>
      </c>
      <c r="H19" s="49"/>
    </row>
    <row r="20" spans="1:32" x14ac:dyDescent="0.3">
      <c r="A20" s="46">
        <f t="shared" si="3"/>
        <v>19</v>
      </c>
      <c r="B20" s="42"/>
      <c r="C20" s="41"/>
      <c r="D20" s="39"/>
      <c r="E20" s="35"/>
      <c r="F20" s="41"/>
      <c r="G20" s="35"/>
      <c r="H20" s="49"/>
    </row>
    <row r="21" spans="1:32" x14ac:dyDescent="0.3">
      <c r="A21" s="46">
        <f t="shared" si="3"/>
        <v>20</v>
      </c>
      <c r="B21" s="42" t="s">
        <v>31</v>
      </c>
      <c r="C21" s="41"/>
      <c r="D21" s="39">
        <v>44227</v>
      </c>
      <c r="E21" s="35" t="s">
        <v>14</v>
      </c>
      <c r="F21" s="41"/>
      <c r="G21" s="55">
        <v>0.7</v>
      </c>
      <c r="H21" s="49"/>
    </row>
    <row r="22" spans="1:32" x14ac:dyDescent="0.3">
      <c r="A22" s="46">
        <f t="shared" si="3"/>
        <v>21</v>
      </c>
      <c r="B22" s="42" t="s">
        <v>32</v>
      </c>
      <c r="C22" s="41"/>
      <c r="D22" s="39">
        <v>44227</v>
      </c>
      <c r="E22" s="35" t="s">
        <v>14</v>
      </c>
      <c r="F22" s="41"/>
      <c r="G22" s="55">
        <v>1</v>
      </c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  <ignoredErrors>
    <ignoredError sqref="H2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127" ht="42.6" customHeight="1" x14ac:dyDescent="0.3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32">
        <v>44174</v>
      </c>
      <c r="M3" s="17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3">
      <c r="A4" s="4"/>
      <c r="B4" s="15"/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33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3.1" customHeight="1" x14ac:dyDescent="0.3">
      <c r="A5" s="5"/>
      <c r="B5" s="15"/>
      <c r="C5" s="16"/>
      <c r="D5" s="3"/>
      <c r="E5" s="3"/>
      <c r="F5" s="3"/>
      <c r="G5" s="3"/>
      <c r="H5" s="27"/>
      <c r="I5" s="27"/>
      <c r="J5" s="3"/>
      <c r="K5" s="3"/>
      <c r="L5" s="34"/>
      <c r="M5" s="3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3.1" customHeight="1" x14ac:dyDescent="0.3">
      <c r="A6" s="6"/>
      <c r="B6" s="15"/>
      <c r="C6" s="16"/>
      <c r="D6" s="3"/>
      <c r="E6" s="3"/>
      <c r="F6" s="3"/>
      <c r="G6" s="3"/>
      <c r="H6" s="27"/>
      <c r="I6" s="27"/>
      <c r="J6" s="3"/>
      <c r="K6" s="3"/>
      <c r="L6" s="34"/>
      <c r="M6" s="3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3.1" customHeight="1" x14ac:dyDescent="0.3">
      <c r="A7" s="4"/>
      <c r="B7" s="15"/>
      <c r="C7" s="16"/>
      <c r="D7" s="3"/>
      <c r="E7" s="3"/>
      <c r="F7" s="3"/>
      <c r="G7" s="3"/>
      <c r="H7" s="27"/>
      <c r="I7" s="27"/>
      <c r="J7" s="3"/>
      <c r="K7" s="3"/>
      <c r="L7" s="34"/>
      <c r="M7" s="3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3.1" customHeight="1" x14ac:dyDescent="0.3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4"/>
      <c r="M8" s="3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3.1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4"/>
      <c r="M9" s="3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3.1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4"/>
      <c r="M10" s="3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3.1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4"/>
      <c r="M11" s="3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3.1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4"/>
      <c r="M12" s="3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3.1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4"/>
      <c r="M13" s="3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3.1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33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29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3.1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4"/>
      <c r="M15" s="3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3.1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4"/>
      <c r="M16" s="3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3.1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4"/>
      <c r="M17" s="3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3.1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4"/>
      <c r="M18" s="3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3.1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4"/>
      <c r="M19" s="3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3.1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4"/>
      <c r="M20" s="3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3.1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4"/>
      <c r="M21" s="3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3.1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4"/>
      <c r="M22" s="3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3.1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4"/>
      <c r="M23" s="3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3.1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33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29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3.1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4"/>
      <c r="M25" s="3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3.1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4"/>
      <c r="M26" s="3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3.1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4"/>
      <c r="M27" s="3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3.1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4"/>
      <c r="M28" s="3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3.1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4"/>
      <c r="M29" s="3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3.1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4"/>
      <c r="M30" s="3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3.1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4"/>
      <c r="M31" s="3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3.1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4"/>
      <c r="M32" s="3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3.1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4"/>
      <c r="M33" s="3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3.1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33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29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3.1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4"/>
      <c r="M35" s="3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3.1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4"/>
      <c r="M36" s="3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3.1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4"/>
      <c r="M37" s="3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3.1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4"/>
      <c r="M38" s="3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3.1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4"/>
      <c r="M39" s="3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3.1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4"/>
      <c r="M40" s="3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3.1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4"/>
      <c r="M41" s="3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3.1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4"/>
      <c r="M42" s="3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3.1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4"/>
      <c r="M43" s="3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3.1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33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29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3.1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4"/>
      <c r="M45" s="3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3.1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4"/>
      <c r="M46" s="3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3.1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4"/>
      <c r="M47" s="3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3.1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4"/>
      <c r="M48" s="3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3.1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4"/>
      <c r="M49" s="3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3.1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4"/>
      <c r="M50" s="3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3.1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4"/>
      <c r="M51" s="3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3.1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4"/>
      <c r="M52" s="3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3.1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4"/>
      <c r="M53" s="3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3.1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33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29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3.1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4"/>
      <c r="M55" s="3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3.1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4"/>
      <c r="M56" s="3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3.1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4"/>
      <c r="M57" s="3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3.1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4"/>
      <c r="M58" s="3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3.1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4"/>
      <c r="M59" s="3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3.1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4"/>
      <c r="M60" s="3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3.1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4"/>
      <c r="M61" s="3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3.1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4"/>
      <c r="M62" s="3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3.1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4"/>
      <c r="M63" s="3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3.1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33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29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3.1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4"/>
      <c r="M65" s="3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3.1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4"/>
      <c r="M66" s="3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3.1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4"/>
      <c r="M67" s="3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3.1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4"/>
      <c r="M68" s="3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3.1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4"/>
      <c r="M69" s="3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3.1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4"/>
      <c r="M70" s="3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3.1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4"/>
      <c r="M71" s="3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3.1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4"/>
      <c r="M72" s="3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3.1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4"/>
      <c r="M73" s="3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3.1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33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29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3.1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4"/>
      <c r="M75" s="3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3.1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4"/>
      <c r="M76" s="3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3.1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4"/>
      <c r="M77" s="3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3.1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4"/>
      <c r="M78" s="3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3.1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4"/>
      <c r="M79" s="3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3.1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4"/>
      <c r="M80" s="3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3.1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4"/>
      <c r="M81" s="3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3.1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4"/>
      <c r="M82" s="3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3.1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4"/>
      <c r="M83" s="3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3.1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33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29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3.1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4"/>
      <c r="M85" s="3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3.1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4"/>
      <c r="M86" s="3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3.1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4"/>
      <c r="M87" s="3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3.1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4"/>
      <c r="M88" s="3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3.1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4"/>
      <c r="M89" s="3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3.1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4"/>
      <c r="M90" s="3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3.1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4"/>
      <c r="M91" s="3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3.1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4"/>
      <c r="M92" s="3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3.1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4"/>
      <c r="M93" s="3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3.1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33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29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3.1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4"/>
      <c r="M95" s="3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3.1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4"/>
      <c r="M96" s="3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3.1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4"/>
      <c r="M97" s="3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3.1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4"/>
      <c r="M98" s="3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3.1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4"/>
      <c r="M99" s="3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3.1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4"/>
      <c r="M100" s="3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3.1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4"/>
      <c r="M101" s="3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3.1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4"/>
      <c r="M102" s="3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3.1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4"/>
      <c r="M103" s="3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3.1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33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29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3.1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4"/>
      <c r="M105" s="3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3.1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4"/>
      <c r="M106" s="3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3.1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4"/>
      <c r="M107" s="3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3.1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4"/>
      <c r="M108" s="3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3.1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4"/>
      <c r="M109" s="3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3.1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4"/>
      <c r="M110" s="3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3.1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4"/>
      <c r="M111" s="3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3.1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4"/>
      <c r="M112" s="3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3.1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4"/>
      <c r="M113" s="3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3.1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33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29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3.1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4"/>
      <c r="M115" s="3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3.1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4"/>
      <c r="M116" s="3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3.1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4"/>
      <c r="M117" s="3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3.1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4"/>
      <c r="M118" s="3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3.1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4"/>
      <c r="M119" s="3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3.1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4"/>
      <c r="M120" s="3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3.1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4"/>
      <c r="M121" s="3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3.1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4"/>
      <c r="M122" s="3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3.1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4"/>
      <c r="M123" s="3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3.1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33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29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3.1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4"/>
      <c r="M125" s="3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175260</xdr:colOff>
                <xdr:row>0</xdr:row>
                <xdr:rowOff>403860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685800</xdr:colOff>
                <xdr:row>0</xdr:row>
                <xdr:rowOff>525780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693420</xdr:colOff>
                <xdr:row>0</xdr:row>
                <xdr:rowOff>266700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Jason Dangel</cp:lastModifiedBy>
  <cp:lastPrinted>2020-12-09T12:47:45Z</cp:lastPrinted>
  <dcterms:created xsi:type="dcterms:W3CDTF">2015-05-13T13:15:15Z</dcterms:created>
  <dcterms:modified xsi:type="dcterms:W3CDTF">2021-01-31T15:50:01Z</dcterms:modified>
</cp:coreProperties>
</file>