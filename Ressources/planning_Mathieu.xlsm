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s\wamp64\www\eco-service\Ressources\"/>
    </mc:Choice>
  </mc:AlternateContent>
  <xr:revisionPtr revIDLastSave="0" documentId="13_ncr:1_{053EEA4B-C884-4FED-ADBE-2BADB043DF9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W124" i="6" l="1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F15" i="7"/>
  <c r="F14" i="7"/>
  <c r="H7" i="7"/>
  <c r="F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" i="7"/>
  <c r="F12" i="7"/>
  <c r="F13" i="7"/>
  <c r="F9" i="7"/>
  <c r="F10" i="7"/>
  <c r="F11" i="7"/>
  <c r="H11" i="7"/>
  <c r="H2" i="7"/>
  <c r="H8" i="7"/>
  <c r="F3" i="7"/>
  <c r="H9" i="7"/>
  <c r="F2" i="7"/>
  <c r="H6" i="7"/>
  <c r="F6" i="7"/>
  <c r="H10" i="7"/>
  <c r="F8" i="7"/>
  <c r="H5" i="7"/>
  <c r="F4" i="7"/>
  <c r="H3" i="7"/>
  <c r="F5" i="7"/>
  <c r="H4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Walczak Mathieu</author>
  </authors>
  <commentList>
    <comment ref="AB3" authorId="0" shapeId="0" xr:uid="{B12ECC7C-820E-4B5E-9C1E-920FF397D34D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94FA71FE-77DE-4787-83CF-2B61A8A4588A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<sst xmlns="http://schemas.openxmlformats.org/spreadsheetml/2006/main" count="55" uniqueCount="29">
  <si>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</si>
  <si>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</si>
  <si>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</si>
  <si>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</si>
  <si>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</si>
  <si>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</si>
  <si>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</si>
  <si>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</si>
  <si>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</si>
  <si>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</si>
  <si>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</si>
  <si>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</si>
  <si>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</si>
  <si>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Mathieu</t>
  </si>
  <si>
    <t xml:space="preserve">Brainstorming </t>
  </si>
  <si>
    <t>Tout le monde</t>
  </si>
  <si>
    <t>RDV point client</t>
  </si>
  <si>
    <t>Reformulation Besoin client</t>
  </si>
  <si>
    <t>Organisation projet</t>
  </si>
  <si>
    <t>Gestion des risques</t>
  </si>
  <si>
    <t>Suivi des charges</t>
  </si>
  <si>
    <t>Planning</t>
  </si>
  <si>
    <t>commentaire</t>
  </si>
  <si>
    <t>En cours de réalisation</t>
  </si>
  <si>
    <t>prendre RDV</t>
  </si>
  <si>
    <t xml:space="preserve">Point projet </t>
  </si>
  <si>
    <t>Point afin de regrouper toute nos idées</t>
  </si>
  <si>
    <t>Point de fin de semaine</t>
  </si>
  <si>
    <t>Livrables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</si>
</sst>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  <xf numFmtId="0" fontId="0" fillId="14" borderId="13" xfId="0" applyFill="1" applyBorder="1" applyAlignment="1">
      <alignment horizontal="center"/>
    </xf>
    <xf numFmtId="0" fontId="0" fillId="14" borderId="9" xfId="0" applyFill="1" applyBorder="1" applyProtection="1"/>
    <xf numFmtId="0" fontId="1" fillId="14" borderId="9" xfId="0" applyFont="1" applyFill="1" applyBorder="1" applyProtection="1"/>
    <xf numFmtId="14" fontId="0" fillId="14" borderId="9" xfId="0" applyNumberFormat="1" applyFill="1" applyBorder="1" applyAlignment="1">
      <alignment horizontal="center"/>
    </xf>
    <xf numFmtId="0" fontId="0" fillId="14" borderId="9" xfId="0" applyFill="1" applyBorder="1" applyAlignment="1">
      <alignment horizontal="center"/>
    </xf>
    <xf numFmtId="14" fontId="0" fillId="14" borderId="9" xfId="0" applyNumberFormat="1" applyFill="1" applyBorder="1"/>
    <xf numFmtId="14" fontId="0" fillId="14" borderId="14" xfId="0" applyNumberFormat="1" applyFill="1" applyBorder="1"/>
    <xf numFmtId="0" fontId="0" fillId="15" borderId="13" xfId="0" applyFill="1" applyBorder="1" applyAlignment="1">
      <alignment horizontal="center"/>
    </xf>
    <xf numFmtId="0" fontId="0" fillId="15" borderId="9" xfId="0" applyFill="1" applyBorder="1" applyProtection="1"/>
    <xf numFmtId="0" fontId="1" fillId="15" borderId="9" xfId="0" applyFont="1" applyFill="1" applyBorder="1" applyProtection="1"/>
    <xf numFmtId="14" fontId="0" fillId="15" borderId="17" xfId="0" applyNumberFormat="1" applyFill="1" applyBorder="1" applyAlignment="1">
      <alignment horizontal="center"/>
    </xf>
    <xf numFmtId="0" fontId="0" fillId="15" borderId="17" xfId="0" applyFill="1" applyBorder="1" applyAlignment="1">
      <alignment horizontal="center"/>
    </xf>
    <xf numFmtId="14" fontId="0" fillId="15" borderId="9" xfId="0" applyNumberFormat="1" applyFill="1" applyBorder="1"/>
    <xf numFmtId="14" fontId="0" fillId="15" borderId="14" xfId="0" applyNumberFormat="1" applyFill="1" applyBorder="1"/>
    <xf numFmtId="14" fontId="0" fillId="15" borderId="9" xfId="0" applyNumberFormat="1" applyFill="1" applyBorder="1" applyAlignment="1">
      <alignment horizontal="center"/>
    </xf>
    <xf numFmtId="0" fontId="0" fillId="15" borderId="9" xfId="0" applyFill="1" applyBorder="1" applyAlignment="1">
      <alignment horizontal="center"/>
    </xf>
    <xf numFmtId="9" fontId="13" fillId="2" borderId="11" xfId="0" applyNumberFormat="1" applyFont="1" applyFill="1" applyBorder="1" applyAlignment="1">
      <alignment horizontal="center"/>
    </xf>
    <xf numFmtId="9" fontId="0" fillId="15" borderId="9" xfId="3" applyNumberFormat="1" applyFont="1" applyFill="1" applyBorder="1" applyAlignment="1">
      <alignment horizontal="center"/>
    </xf>
    <xf numFmtId="9" fontId="0" fillId="14" borderId="9" xfId="3" applyNumberFormat="1" applyFont="1" applyFill="1" applyBorder="1" applyAlignment="1">
      <alignment horizontal="center"/>
    </xf>
    <xf numFmtId="9" fontId="0" fillId="0" borderId="9" xfId="3" applyNumberFormat="1" applyFont="1" applyBorder="1" applyAlignment="1">
      <alignment horizontal="center"/>
    </xf>
    <xf numFmtId="9" fontId="0" fillId="0" borderId="9" xfId="0" applyNumberFormat="1" applyBorder="1" applyAlignment="1">
      <alignment horizontal="center"/>
    </xf>
    <xf numFmtId="9" fontId="0" fillId="0" borderId="9" xfId="2" applyNumberFormat="1" applyFont="1" applyBorder="1"/>
    <xf numFmtId="9" fontId="0" fillId="0" borderId="15" xfId="0" applyNumberFormat="1" applyBorder="1" applyAlignment="1">
      <alignment horizontal="center"/>
    </xf>
    <xf numFmtId="9" fontId="0" fillId="0" borderId="0" xfId="0" applyNumberFormat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285750</xdr:rowOff>
        </xdr:from>
        <xdr:to>
          <xdr:col>2</xdr:col>
          <xdr:colOff>685800</xdr:colOff>
          <xdr:row>0</xdr:row>
          <xdr:rowOff>523875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28575</xdr:rowOff>
        </xdr:from>
        <xdr:to>
          <xdr:col>2</xdr:col>
          <xdr:colOff>695325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0</xdr:row>
          <xdr:rowOff>295275</xdr:rowOff>
        </xdr:from>
        <xdr:to>
          <xdr:col>2</xdr:col>
          <xdr:colOff>876300</xdr:colOff>
          <xdr:row>0</xdr:row>
          <xdr:rowOff>485775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304800</xdr:rowOff>
        </xdr:from>
        <xdr:to>
          <xdr:col>1</xdr:col>
          <xdr:colOff>238125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171450</xdr:rowOff>
        </xdr:from>
        <xdr:to>
          <xdr:col>13</xdr:col>
          <xdr:colOff>171450</xdr:colOff>
          <xdr:row>0</xdr:row>
          <xdr:rowOff>400050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142875</xdr:rowOff>
        </xdr:from>
        <xdr:to>
          <xdr:col>2</xdr:col>
          <xdr:colOff>895350</xdr:colOff>
          <xdr:row>2</xdr:row>
          <xdr:rowOff>219075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25400</xdr:colOff>
      <xdr:row>3</xdr:row>
      <xdr:rowOff>25400</xdr:rowOff>
    </xdr:from>
    <xdr:to>
      <xdr:col>9</xdr:col>
      <xdr:colOff>174625</xdr:colOff>
      <xdr:row>3</xdr:row>
      <xdr:rowOff>260350</xdr:rowOff>
    </xdr:to>
    <xdr:sp macro="Fiche" textlink="">
      <xdr:nvSpPr>
        <xdr:cNvPr id="4319" name="_4|2|44172|44172">
          <a:extLst>
            <a:ext uri="{FF2B5EF4-FFF2-40B4-BE49-F238E27FC236}">
              <a16:creationId xmlns:a16="http://schemas.microsoft.com/office/drawing/2014/main" id="{4D79ACCF-FE2D-4678-AB5E-4D50D9ACE2F8}"/>
            </a:ext>
          </a:extLst>
        </xdr:cNvPr>
        <xdr:cNvSpPr/>
      </xdr:nvSpPr>
      <xdr:spPr>
        <a:xfrm>
          <a:off x="3159125" y="1206500"/>
          <a:ext cx="149225" cy="234950"/>
        </a:xfrm>
        <a:prstGeom prst="roundRect">
          <a:avLst/>
        </a:prstGeom>
        <a:solidFill>
          <a:srgbClr val="F2F2F2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Mathieu</a:t>
          </a:r>
        </a:p>
      </xdr:txBody>
    </xdr:sp>
    <xdr:clientData/>
  </xdr:twoCellAnchor>
  <xdr:twoCellAnchor>
    <xdr:from>
      <xdr:col>9</xdr:col>
      <xdr:colOff>50800</xdr:colOff>
      <xdr:row>3</xdr:row>
      <xdr:rowOff>209550</xdr:rowOff>
    </xdr:from>
    <xdr:to>
      <xdr:col>9</xdr:col>
      <xdr:colOff>174625</xdr:colOff>
      <xdr:row>3</xdr:row>
      <xdr:rowOff>247650</xdr:rowOff>
    </xdr:to>
    <xdr:sp macro="Fiche" textlink="">
      <xdr:nvSpPr>
        <xdr:cNvPr id="288" name="__Reformulation Besoin client">
          <a:extLst>
            <a:ext uri="{FF2B5EF4-FFF2-40B4-BE49-F238E27FC236}">
              <a16:creationId xmlns:a16="http://schemas.microsoft.com/office/drawing/2014/main" id="{E790D884-D37D-43A4-A60F-AB691A328609}"/>
            </a:ext>
          </a:extLst>
        </xdr:cNvPr>
        <xdr:cNvSpPr/>
      </xdr:nvSpPr>
      <xdr:spPr>
        <a:xfrm>
          <a:off x="3184525" y="1390650"/>
          <a:ext cx="123825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25400</xdr:colOff>
      <xdr:row>4</xdr:row>
      <xdr:rowOff>25400</xdr:rowOff>
    </xdr:from>
    <xdr:to>
      <xdr:col>9</xdr:col>
      <xdr:colOff>174625</xdr:colOff>
      <xdr:row>4</xdr:row>
      <xdr:rowOff>260350</xdr:rowOff>
    </xdr:to>
    <xdr:sp macro="Fiche" textlink="">
      <xdr:nvSpPr>
        <xdr:cNvPr id="289" name="_5|3|44172|44172">
          <a:extLst>
            <a:ext uri="{FF2B5EF4-FFF2-40B4-BE49-F238E27FC236}">
              <a16:creationId xmlns:a16="http://schemas.microsoft.com/office/drawing/2014/main" id="{8170E28A-174F-4299-88D9-DC5544841F0C}"/>
            </a:ext>
          </a:extLst>
        </xdr:cNvPr>
        <xdr:cNvSpPr/>
      </xdr:nvSpPr>
      <xdr:spPr>
        <a:xfrm>
          <a:off x="3159125" y="1492250"/>
          <a:ext cx="149225" cy="234950"/>
        </a:xfrm>
        <a:prstGeom prst="roundRect">
          <a:avLst/>
        </a:prstGeom>
        <a:solidFill>
          <a:srgbClr val="F2F2F2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Mathieu</a:t>
          </a:r>
        </a:p>
      </xdr:txBody>
    </xdr:sp>
    <xdr:clientData/>
  </xdr:twoCellAnchor>
  <xdr:twoCellAnchor>
    <xdr:from>
      <xdr:col>9</xdr:col>
      <xdr:colOff>50800</xdr:colOff>
      <xdr:row>4</xdr:row>
      <xdr:rowOff>209550</xdr:rowOff>
    </xdr:from>
    <xdr:to>
      <xdr:col>9</xdr:col>
      <xdr:colOff>174625</xdr:colOff>
      <xdr:row>4</xdr:row>
      <xdr:rowOff>247650</xdr:rowOff>
    </xdr:to>
    <xdr:sp macro="Fiche" textlink="">
      <xdr:nvSpPr>
        <xdr:cNvPr id="290" name="__Organisation projet">
          <a:extLst>
            <a:ext uri="{FF2B5EF4-FFF2-40B4-BE49-F238E27FC236}">
              <a16:creationId xmlns:a16="http://schemas.microsoft.com/office/drawing/2014/main" id="{330C9B73-6411-47DF-92BD-61A9220F105E}"/>
            </a:ext>
          </a:extLst>
        </xdr:cNvPr>
        <xdr:cNvSpPr/>
      </xdr:nvSpPr>
      <xdr:spPr>
        <a:xfrm>
          <a:off x="3184525" y="1676400"/>
          <a:ext cx="123825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25400</xdr:colOff>
      <xdr:row>5</xdr:row>
      <xdr:rowOff>25400</xdr:rowOff>
    </xdr:from>
    <xdr:to>
      <xdr:col>9</xdr:col>
      <xdr:colOff>174625</xdr:colOff>
      <xdr:row>5</xdr:row>
      <xdr:rowOff>260350</xdr:rowOff>
    </xdr:to>
    <xdr:sp macro="Fiche" textlink="">
      <xdr:nvSpPr>
        <xdr:cNvPr id="291" name="_6|11|44172|44172">
          <a:extLst>
            <a:ext uri="{FF2B5EF4-FFF2-40B4-BE49-F238E27FC236}">
              <a16:creationId xmlns:a16="http://schemas.microsoft.com/office/drawing/2014/main" id="{6650B076-4098-4DFE-9402-A002602CA853}"/>
            </a:ext>
          </a:extLst>
        </xdr:cNvPr>
        <xdr:cNvSpPr/>
      </xdr:nvSpPr>
      <xdr:spPr>
        <a:xfrm>
          <a:off x="3159125" y="1778000"/>
          <a:ext cx="149225" cy="23495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11 Tout le monde</a:t>
          </a:r>
        </a:p>
      </xdr:txBody>
    </xdr:sp>
    <xdr:clientData/>
  </xdr:twoCellAnchor>
  <xdr:twoCellAnchor>
    <xdr:from>
      <xdr:col>9</xdr:col>
      <xdr:colOff>25400</xdr:colOff>
      <xdr:row>6</xdr:row>
      <xdr:rowOff>25400</xdr:rowOff>
    </xdr:from>
    <xdr:to>
      <xdr:col>13</xdr:col>
      <xdr:colOff>174625</xdr:colOff>
      <xdr:row>6</xdr:row>
      <xdr:rowOff>260350</xdr:rowOff>
    </xdr:to>
    <xdr:sp macro="Fiche" textlink="">
      <xdr:nvSpPr>
        <xdr:cNvPr id="292" name="_7|1|44172|44176">
          <a:extLst>
            <a:ext uri="{FF2B5EF4-FFF2-40B4-BE49-F238E27FC236}">
              <a16:creationId xmlns:a16="http://schemas.microsoft.com/office/drawing/2014/main" id="{8863D126-0B8F-4273-B2BD-8DD709D641FA}"/>
            </a:ext>
          </a:extLst>
        </xdr:cNvPr>
        <xdr:cNvSpPr/>
      </xdr:nvSpPr>
      <xdr:spPr>
        <a:xfrm>
          <a:off x="3159125" y="2063750"/>
          <a:ext cx="949325" cy="234950"/>
        </a:xfrm>
        <a:prstGeom prst="roundRect">
          <a:avLst/>
        </a:prstGeom>
        <a:solidFill>
          <a:srgbClr val="D9D9D9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Mathieu</a:t>
          </a:r>
        </a:p>
      </xdr:txBody>
    </xdr:sp>
    <xdr:clientData/>
  </xdr:twoCellAnchor>
  <xdr:twoCellAnchor>
    <xdr:from>
      <xdr:col>9</xdr:col>
      <xdr:colOff>50800</xdr:colOff>
      <xdr:row>6</xdr:row>
      <xdr:rowOff>209550</xdr:rowOff>
    </xdr:from>
    <xdr:to>
      <xdr:col>11</xdr:col>
      <xdr:colOff>174625</xdr:colOff>
      <xdr:row>6</xdr:row>
      <xdr:rowOff>247650</xdr:rowOff>
    </xdr:to>
    <xdr:sp macro="Fiche" textlink="">
      <xdr:nvSpPr>
        <xdr:cNvPr id="293" name="__Livrables">
          <a:extLst>
            <a:ext uri="{FF2B5EF4-FFF2-40B4-BE49-F238E27FC236}">
              <a16:creationId xmlns:a16="http://schemas.microsoft.com/office/drawing/2014/main" id="{2DEEEA1D-2518-46F8-BBDC-8EA76CDAE565}"/>
            </a:ext>
          </a:extLst>
        </xdr:cNvPr>
        <xdr:cNvSpPr/>
      </xdr:nvSpPr>
      <xdr:spPr>
        <a:xfrm>
          <a:off x="3184525" y="2247900"/>
          <a:ext cx="523875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25400</xdr:colOff>
      <xdr:row>7</xdr:row>
      <xdr:rowOff>25400</xdr:rowOff>
    </xdr:from>
    <xdr:to>
      <xdr:col>10</xdr:col>
      <xdr:colOff>174625</xdr:colOff>
      <xdr:row>7</xdr:row>
      <xdr:rowOff>260350</xdr:rowOff>
    </xdr:to>
    <xdr:sp macro="Fiche" textlink="">
      <xdr:nvSpPr>
        <xdr:cNvPr id="294" name="_8|3|44173|44173">
          <a:extLst>
            <a:ext uri="{FF2B5EF4-FFF2-40B4-BE49-F238E27FC236}">
              <a16:creationId xmlns:a16="http://schemas.microsoft.com/office/drawing/2014/main" id="{6836A5AF-AAED-4BF3-9547-7BB7129CE4ED}"/>
            </a:ext>
          </a:extLst>
        </xdr:cNvPr>
        <xdr:cNvSpPr/>
      </xdr:nvSpPr>
      <xdr:spPr>
        <a:xfrm>
          <a:off x="3359150" y="2349500"/>
          <a:ext cx="149225" cy="234950"/>
        </a:xfrm>
        <a:prstGeom prst="roundRect">
          <a:avLst/>
        </a:prstGeom>
        <a:solidFill>
          <a:srgbClr val="F2F2F2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Mathieu</a:t>
          </a:r>
        </a:p>
      </xdr:txBody>
    </xdr:sp>
    <xdr:clientData/>
  </xdr:twoCellAnchor>
  <xdr:twoCellAnchor>
    <xdr:from>
      <xdr:col>10</xdr:col>
      <xdr:colOff>50800</xdr:colOff>
      <xdr:row>7</xdr:row>
      <xdr:rowOff>209550</xdr:rowOff>
    </xdr:from>
    <xdr:to>
      <xdr:col>10</xdr:col>
      <xdr:colOff>174625</xdr:colOff>
      <xdr:row>7</xdr:row>
      <xdr:rowOff>247650</xdr:rowOff>
    </xdr:to>
    <xdr:sp macro="Fiche" textlink="">
      <xdr:nvSpPr>
        <xdr:cNvPr id="295" name="__Gestion des risques">
          <a:extLst>
            <a:ext uri="{FF2B5EF4-FFF2-40B4-BE49-F238E27FC236}">
              <a16:creationId xmlns:a16="http://schemas.microsoft.com/office/drawing/2014/main" id="{F094302C-6A70-474D-9660-62B91BBBDCE4}"/>
            </a:ext>
          </a:extLst>
        </xdr:cNvPr>
        <xdr:cNvSpPr/>
      </xdr:nvSpPr>
      <xdr:spPr>
        <a:xfrm>
          <a:off x="3384550" y="2533650"/>
          <a:ext cx="123825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25400</xdr:colOff>
      <xdr:row>8</xdr:row>
      <xdr:rowOff>25400</xdr:rowOff>
    </xdr:from>
    <xdr:to>
      <xdr:col>11</xdr:col>
      <xdr:colOff>174625</xdr:colOff>
      <xdr:row>8</xdr:row>
      <xdr:rowOff>260350</xdr:rowOff>
    </xdr:to>
    <xdr:sp macro="Fiche" textlink="">
      <xdr:nvSpPr>
        <xdr:cNvPr id="296" name="_9|12|44174|44174">
          <a:extLst>
            <a:ext uri="{FF2B5EF4-FFF2-40B4-BE49-F238E27FC236}">
              <a16:creationId xmlns:a16="http://schemas.microsoft.com/office/drawing/2014/main" id="{C6C58B1E-DA1E-4BFE-8268-9D8BF8FEE7B5}"/>
            </a:ext>
          </a:extLst>
        </xdr:cNvPr>
        <xdr:cNvSpPr/>
      </xdr:nvSpPr>
      <xdr:spPr>
        <a:xfrm>
          <a:off x="3559175" y="2635250"/>
          <a:ext cx="149225" cy="23495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12 Tout le monde</a:t>
          </a:r>
        </a:p>
      </xdr:txBody>
    </xdr:sp>
    <xdr:clientData/>
  </xdr:twoCellAnchor>
  <xdr:twoCellAnchor>
    <xdr:from>
      <xdr:col>11</xdr:col>
      <xdr:colOff>25400</xdr:colOff>
      <xdr:row>9</xdr:row>
      <xdr:rowOff>25400</xdr:rowOff>
    </xdr:from>
    <xdr:to>
      <xdr:col>11</xdr:col>
      <xdr:colOff>174625</xdr:colOff>
      <xdr:row>9</xdr:row>
      <xdr:rowOff>260350</xdr:rowOff>
    </xdr:to>
    <xdr:sp macro="Fiche" textlink="">
      <xdr:nvSpPr>
        <xdr:cNvPr id="297" name="_10|5|44174|44174">
          <a:extLst>
            <a:ext uri="{FF2B5EF4-FFF2-40B4-BE49-F238E27FC236}">
              <a16:creationId xmlns:a16="http://schemas.microsoft.com/office/drawing/2014/main" id="{66AA676B-B04A-4F94-AB45-14740F51888C}"/>
            </a:ext>
          </a:extLst>
        </xdr:cNvPr>
        <xdr:cNvSpPr/>
      </xdr:nvSpPr>
      <xdr:spPr>
        <a:xfrm>
          <a:off x="3559175" y="2921000"/>
          <a:ext cx="149225" cy="234950"/>
        </a:xfrm>
        <a:prstGeom prst="roundRect">
          <a:avLst/>
        </a:prstGeom>
        <a:solidFill>
          <a:srgbClr val="F2F2F2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5 Mathieu</a:t>
          </a:r>
        </a:p>
      </xdr:txBody>
    </xdr:sp>
    <xdr:clientData/>
  </xdr:twoCellAnchor>
  <xdr:twoCellAnchor>
    <xdr:from>
      <xdr:col>12</xdr:col>
      <xdr:colOff>25400</xdr:colOff>
      <xdr:row>10</xdr:row>
      <xdr:rowOff>25400</xdr:rowOff>
    </xdr:from>
    <xdr:to>
      <xdr:col>12</xdr:col>
      <xdr:colOff>174625</xdr:colOff>
      <xdr:row>10</xdr:row>
      <xdr:rowOff>260350</xdr:rowOff>
    </xdr:to>
    <xdr:sp macro="Fiche" textlink="">
      <xdr:nvSpPr>
        <xdr:cNvPr id="298" name="_11|6|44175|44175">
          <a:extLst>
            <a:ext uri="{FF2B5EF4-FFF2-40B4-BE49-F238E27FC236}">
              <a16:creationId xmlns:a16="http://schemas.microsoft.com/office/drawing/2014/main" id="{1A1EA906-0375-4B39-B131-E1D09E4624B3}"/>
            </a:ext>
          </a:extLst>
        </xdr:cNvPr>
        <xdr:cNvSpPr/>
      </xdr:nvSpPr>
      <xdr:spPr>
        <a:xfrm>
          <a:off x="3759200" y="3206750"/>
          <a:ext cx="149225" cy="234950"/>
        </a:xfrm>
        <a:prstGeom prst="roundRect">
          <a:avLst/>
        </a:prstGeom>
        <a:solidFill>
          <a:srgbClr val="F2F2F2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6 Mathieu</a:t>
          </a:r>
        </a:p>
      </xdr:txBody>
    </xdr:sp>
    <xdr:clientData/>
  </xdr:twoCellAnchor>
  <xdr:twoCellAnchor>
    <xdr:from>
      <xdr:col>13</xdr:col>
      <xdr:colOff>25400</xdr:colOff>
      <xdr:row>8</xdr:row>
      <xdr:rowOff>25400</xdr:rowOff>
    </xdr:from>
    <xdr:to>
      <xdr:col>13</xdr:col>
      <xdr:colOff>174625</xdr:colOff>
      <xdr:row>8</xdr:row>
      <xdr:rowOff>260350</xdr:rowOff>
    </xdr:to>
    <xdr:sp macro="Fiche" textlink="">
      <xdr:nvSpPr>
        <xdr:cNvPr id="299" name="_9|13|44176|44176">
          <a:extLst>
            <a:ext uri="{FF2B5EF4-FFF2-40B4-BE49-F238E27FC236}">
              <a16:creationId xmlns:a16="http://schemas.microsoft.com/office/drawing/2014/main" id="{F4B26BAE-3AB2-42CA-BCB1-33FDB063ADB0}"/>
            </a:ext>
          </a:extLst>
        </xdr:cNvPr>
        <xdr:cNvSpPr/>
      </xdr:nvSpPr>
      <xdr:spPr>
        <a:xfrm>
          <a:off x="3959225" y="2635250"/>
          <a:ext cx="149225" cy="23495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13 Tout le monde</a:t>
          </a:r>
        </a:p>
      </xdr:txBody>
    </xdr:sp>
    <xdr:clientData/>
  </xdr:twoCellAnchor>
  <xdr:twoCellAnchor>
    <xdr:from>
      <xdr:col>16</xdr:col>
      <xdr:colOff>25400</xdr:colOff>
      <xdr:row>6</xdr:row>
      <xdr:rowOff>25400</xdr:rowOff>
    </xdr:from>
    <xdr:to>
      <xdr:col>20</xdr:col>
      <xdr:colOff>174625</xdr:colOff>
      <xdr:row>6</xdr:row>
      <xdr:rowOff>260350</xdr:rowOff>
    </xdr:to>
    <xdr:sp macro="Fiche" textlink="">
      <xdr:nvSpPr>
        <xdr:cNvPr id="300" name="_7|8|44179|44183">
          <a:extLst>
            <a:ext uri="{FF2B5EF4-FFF2-40B4-BE49-F238E27FC236}">
              <a16:creationId xmlns:a16="http://schemas.microsoft.com/office/drawing/2014/main" id="{A233BE8B-CE3D-4D03-803F-E5005FBDF4DF}"/>
            </a:ext>
          </a:extLst>
        </xdr:cNvPr>
        <xdr:cNvSpPr/>
      </xdr:nvSpPr>
      <xdr:spPr>
        <a:xfrm>
          <a:off x="4559300" y="2063750"/>
          <a:ext cx="949325" cy="234950"/>
        </a:xfrm>
        <a:prstGeom prst="roundRect">
          <a:avLst/>
        </a:prstGeom>
        <a:solidFill>
          <a:srgbClr val="D9D9D9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8 Mathieu</a:t>
          </a:r>
        </a:p>
      </xdr:txBody>
    </xdr:sp>
    <xdr:clientData/>
  </xdr:twoCellAnchor>
  <xdr:twoCellAnchor>
    <xdr:from>
      <xdr:col>17</xdr:col>
      <xdr:colOff>25400</xdr:colOff>
      <xdr:row>11</xdr:row>
      <xdr:rowOff>25400</xdr:rowOff>
    </xdr:from>
    <xdr:to>
      <xdr:col>17</xdr:col>
      <xdr:colOff>174625</xdr:colOff>
      <xdr:row>11</xdr:row>
      <xdr:rowOff>260350</xdr:rowOff>
    </xdr:to>
    <xdr:sp macro="Fiche" textlink="">
      <xdr:nvSpPr>
        <xdr:cNvPr id="349" name="_12|7|44180|44180">
          <a:extLst>
            <a:ext uri="{FF2B5EF4-FFF2-40B4-BE49-F238E27FC236}">
              <a16:creationId xmlns:a16="http://schemas.microsoft.com/office/drawing/2014/main" id="{98F75A99-82B1-4B28-8AEA-0D51CDC4F481}"/>
            </a:ext>
          </a:extLst>
        </xdr:cNvPr>
        <xdr:cNvSpPr/>
      </xdr:nvSpPr>
      <xdr:spPr>
        <a:xfrm>
          <a:off x="4759325" y="3492500"/>
          <a:ext cx="149225" cy="234950"/>
        </a:xfrm>
        <a:prstGeom prst="roundRect">
          <a:avLst/>
        </a:prstGeom>
        <a:solidFill>
          <a:srgbClr val="FF0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7 Mathieu</a:t>
          </a:r>
        </a:p>
      </xdr:txBody>
    </xdr:sp>
    <xdr:clientData/>
  </xdr:twoCellAnchor>
  <xdr:twoCellAnchor>
    <xdr:from>
      <xdr:col>20</xdr:col>
      <xdr:colOff>25400</xdr:colOff>
      <xdr:row>11</xdr:row>
      <xdr:rowOff>25400</xdr:rowOff>
    </xdr:from>
    <xdr:to>
      <xdr:col>20</xdr:col>
      <xdr:colOff>174625</xdr:colOff>
      <xdr:row>11</xdr:row>
      <xdr:rowOff>260350</xdr:rowOff>
    </xdr:to>
    <xdr:sp macro="Fiche" textlink="">
      <xdr:nvSpPr>
        <xdr:cNvPr id="350" name="_12|14|44183|44183">
          <a:extLst>
            <a:ext uri="{FF2B5EF4-FFF2-40B4-BE49-F238E27FC236}">
              <a16:creationId xmlns:a16="http://schemas.microsoft.com/office/drawing/2014/main" id="{67A0A647-1DDA-434A-8419-CEBCA15A7711}"/>
            </a:ext>
          </a:extLst>
        </xdr:cNvPr>
        <xdr:cNvSpPr/>
      </xdr:nvSpPr>
      <xdr:spPr>
        <a:xfrm>
          <a:off x="5359400" y="3492500"/>
          <a:ext cx="149225" cy="234950"/>
        </a:xfrm>
        <a:prstGeom prst="roundRect">
          <a:avLst/>
        </a:prstGeom>
        <a:solidFill>
          <a:srgbClr val="FF0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14 Mathieu</a:t>
          </a:r>
        </a:p>
      </xdr:txBody>
    </xdr:sp>
    <xdr:clientData/>
  </xdr:twoCellAnchor>
  <xdr:twoCellAnchor>
    <xdr:from>
      <xdr:col>58</xdr:col>
      <xdr:colOff>25400</xdr:colOff>
      <xdr:row>6</xdr:row>
      <xdr:rowOff>25400</xdr:rowOff>
    </xdr:from>
    <xdr:to>
      <xdr:col>62</xdr:col>
      <xdr:colOff>174625</xdr:colOff>
      <xdr:row>6</xdr:row>
      <xdr:rowOff>260350</xdr:rowOff>
    </xdr:to>
    <xdr:sp macro="Fiche" textlink="">
      <xdr:nvSpPr>
        <xdr:cNvPr id="351" name="_7|9|44221|44225">
          <a:extLst>
            <a:ext uri="{FF2B5EF4-FFF2-40B4-BE49-F238E27FC236}">
              <a16:creationId xmlns:a16="http://schemas.microsoft.com/office/drawing/2014/main" id="{2631A349-6110-48DB-B5A8-6F9699E8AE48}"/>
            </a:ext>
          </a:extLst>
        </xdr:cNvPr>
        <xdr:cNvSpPr/>
      </xdr:nvSpPr>
      <xdr:spPr>
        <a:xfrm>
          <a:off x="12960350" y="2063750"/>
          <a:ext cx="949325" cy="234950"/>
        </a:xfrm>
        <a:prstGeom prst="roundRect">
          <a:avLst/>
        </a:prstGeom>
        <a:solidFill>
          <a:srgbClr val="D9D9D9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9 Mathieu</a:t>
          </a:r>
        </a:p>
      </xdr:txBody>
    </xdr:sp>
    <xdr:clientData/>
  </xdr:twoCellAnchor>
  <xdr:twoCellAnchor>
    <xdr:from>
      <xdr:col>65</xdr:col>
      <xdr:colOff>25400</xdr:colOff>
      <xdr:row>6</xdr:row>
      <xdr:rowOff>25400</xdr:rowOff>
    </xdr:from>
    <xdr:to>
      <xdr:col>69</xdr:col>
      <xdr:colOff>174625</xdr:colOff>
      <xdr:row>6</xdr:row>
      <xdr:rowOff>260350</xdr:rowOff>
    </xdr:to>
    <xdr:sp macro="Fiche" textlink="">
      <xdr:nvSpPr>
        <xdr:cNvPr id="4320" name="_7|10|44228|44232">
          <a:extLst>
            <a:ext uri="{FF2B5EF4-FFF2-40B4-BE49-F238E27FC236}">
              <a16:creationId xmlns:a16="http://schemas.microsoft.com/office/drawing/2014/main" id="{414510E9-5BDC-4481-86CF-CD153F18C6E8}"/>
            </a:ext>
          </a:extLst>
        </xdr:cNvPr>
        <xdr:cNvSpPr/>
      </xdr:nvSpPr>
      <xdr:spPr>
        <a:xfrm>
          <a:off x="14360525" y="2063750"/>
          <a:ext cx="949325" cy="234950"/>
        </a:xfrm>
        <a:prstGeom prst="roundRect">
          <a:avLst/>
        </a:prstGeom>
        <a:solidFill>
          <a:srgbClr val="D9D9D9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10 Mathieu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3"/>
  <sheetViews>
    <sheetView showGridLines="0" tabSelected="1" zoomScale="115" zoomScaleNormal="115" workbookViewId="0">
      <selection activeCell="I19" sqref="I19"/>
    </sheetView>
  </sheetViews>
  <sheetFormatPr baseColWidth="10" defaultRowHeight="15" x14ac:dyDescent="0.25"/>
  <cols>
    <col min="1" max="1" width="6.5703125" customWidth="1"/>
    <col min="2" max="2" width="26" style="10" bestFit="1" customWidth="1"/>
    <col min="3" max="3" width="31.28515625" customWidth="1"/>
    <col min="4" max="4" width="11.7109375" customWidth="1"/>
    <col min="5" max="5" width="11.7109375" style="19" customWidth="1"/>
    <col min="6" max="6" width="11.7109375" customWidth="1"/>
    <col min="7" max="7" width="11.7109375" style="76" customWidth="1"/>
    <col min="8" max="8" width="12.42578125" bestFit="1" customWidth="1"/>
    <col min="9" max="9" width="42" customWidth="1"/>
    <col min="10" max="10" width="11.7109375" customWidth="1"/>
    <col min="11" max="22" width="10.85546875" customWidth="1"/>
    <col min="28" max="28" width="16.5703125" customWidth="1"/>
  </cols>
  <sheetData>
    <row r="1" spans="1:34" x14ac:dyDescent="0.25">
      <c r="A1" s="42" t="s">
        <v>1</v>
      </c>
      <c r="B1" s="43" t="s">
        <v>6</v>
      </c>
      <c r="C1" s="43" t="s">
        <v>7</v>
      </c>
      <c r="D1" s="43" t="s">
        <v>2</v>
      </c>
      <c r="E1" s="43" t="s">
        <v>3</v>
      </c>
      <c r="F1" s="43" t="s">
        <v>0</v>
      </c>
      <c r="G1" s="69" t="s">
        <v>8</v>
      </c>
      <c r="H1" s="44" t="s">
        <v>4</v>
      </c>
      <c r="I1" s="52" t="s">
        <v>22</v>
      </c>
      <c r="J1" s="52"/>
      <c r="AA1" s="18"/>
    </row>
    <row r="2" spans="1:34" x14ac:dyDescent="0.25">
      <c r="A2" s="60">
        <v>1</v>
      </c>
      <c r="B2" s="61" t="s">
        <v>28</v>
      </c>
      <c r="C2" s="62" t="s">
        <v>13</v>
      </c>
      <c r="D2" s="63">
        <v>44172</v>
      </c>
      <c r="E2" s="64">
        <v>5</v>
      </c>
      <c r="F2" s="65">
        <f t="shared" ref="F2:F9" si="0">WORKDAY(D2,E2-1,tferies(YEAR(D2)))</f>
        <v>44176</v>
      </c>
      <c r="G2" s="70">
        <v>0.7</v>
      </c>
      <c r="H2" s="66">
        <f t="shared" ref="H2" si="1">IF(G2&gt;0,WORKDAY(D2,(E2*G2)-1,tferies(YEAR(D2))),"")</f>
        <v>44174</v>
      </c>
      <c r="I2" t="s">
        <v>23</v>
      </c>
      <c r="AB2" s="18"/>
      <c r="AC2" s="18"/>
      <c r="AD2" s="18"/>
      <c r="AE2" s="18"/>
      <c r="AF2" s="18"/>
    </row>
    <row r="3" spans="1:34" x14ac:dyDescent="0.25">
      <c r="A3" s="53">
        <v>2</v>
      </c>
      <c r="B3" s="54" t="s">
        <v>17</v>
      </c>
      <c r="C3" s="55" t="s">
        <v>13</v>
      </c>
      <c r="D3" s="56">
        <v>44172</v>
      </c>
      <c r="E3" s="57">
        <v>1</v>
      </c>
      <c r="F3" s="58">
        <f>WORKDAY(D3,E3-1,tferies(YEAR(D3)))</f>
        <v>44172</v>
      </c>
      <c r="G3" s="71">
        <v>1</v>
      </c>
      <c r="H3" s="59">
        <f>IF(G3&gt;0,WORKDAY(D3,(E3*G3)-1,tferies(YEAR(D3))),"")</f>
        <v>44172</v>
      </c>
      <c r="AB3" s="18"/>
      <c r="AC3" s="18"/>
      <c r="AD3" s="18"/>
      <c r="AE3" s="18"/>
      <c r="AF3" s="18"/>
    </row>
    <row r="4" spans="1:34" x14ac:dyDescent="0.25">
      <c r="A4" s="53">
        <v>3</v>
      </c>
      <c r="B4" s="54" t="s">
        <v>18</v>
      </c>
      <c r="C4" s="55" t="s">
        <v>13</v>
      </c>
      <c r="D4" s="56">
        <v>44172</v>
      </c>
      <c r="E4" s="57">
        <v>1</v>
      </c>
      <c r="F4" s="58">
        <f>WORKDAY(D4,E4-1,tferies(YEAR(D4)))</f>
        <v>44172</v>
      </c>
      <c r="G4" s="71">
        <v>1</v>
      </c>
      <c r="H4" s="59">
        <f>IF(G4&gt;0,WORKDAY(D4,(E4*G4)-1,tferies(YEAR(D4))),"")</f>
        <v>44172</v>
      </c>
      <c r="AB4" s="18"/>
      <c r="AC4" s="18"/>
      <c r="AD4" s="18"/>
      <c r="AE4" s="18"/>
      <c r="AF4" s="18"/>
    </row>
    <row r="5" spans="1:34" x14ac:dyDescent="0.25">
      <c r="A5" s="53">
        <v>3</v>
      </c>
      <c r="B5" s="54" t="s">
        <v>19</v>
      </c>
      <c r="C5" s="55" t="s">
        <v>13</v>
      </c>
      <c r="D5" s="56">
        <v>44173</v>
      </c>
      <c r="E5" s="57">
        <v>1</v>
      </c>
      <c r="F5" s="58">
        <f>WORKDAY(D5,E5-1,tferies(YEAR(D5)))</f>
        <v>44173</v>
      </c>
      <c r="G5" s="71">
        <v>1</v>
      </c>
      <c r="H5" s="59">
        <f>IF(G5&gt;0,WORKDAY(D5,(E5*G5)-1,tferies(YEAR(D5))),"")</f>
        <v>44173</v>
      </c>
      <c r="AB5" s="18"/>
      <c r="AC5" s="18"/>
      <c r="AD5" s="18"/>
      <c r="AE5" s="18"/>
      <c r="AF5" s="18"/>
      <c r="AH5" s="18"/>
    </row>
    <row r="6" spans="1:34" x14ac:dyDescent="0.25">
      <c r="A6" s="53">
        <v>5</v>
      </c>
      <c r="B6" s="54" t="s">
        <v>20</v>
      </c>
      <c r="C6" s="55" t="s">
        <v>13</v>
      </c>
      <c r="D6" s="56">
        <v>44174</v>
      </c>
      <c r="E6" s="57">
        <v>1</v>
      </c>
      <c r="F6" s="58">
        <f>WORKDAY(D6,E6-1,tferies(YEAR(D6)))</f>
        <v>44174</v>
      </c>
      <c r="G6" s="71">
        <v>0.3</v>
      </c>
      <c r="H6" s="59">
        <f>IF(G6&gt;0,WORKDAY(D6,(E6*G6)-1,tferies(YEAR(D6))),"")</f>
        <v>44173</v>
      </c>
      <c r="AB6" s="18"/>
      <c r="AC6" s="18"/>
      <c r="AD6" s="18"/>
      <c r="AE6" s="18"/>
      <c r="AF6" s="18"/>
      <c r="AH6" s="18"/>
    </row>
    <row r="7" spans="1:34" x14ac:dyDescent="0.25">
      <c r="A7" s="53">
        <f>A6+1</f>
        <v>6</v>
      </c>
      <c r="B7" s="54" t="s">
        <v>21</v>
      </c>
      <c r="C7" s="55" t="s">
        <v>13</v>
      </c>
      <c r="D7" s="56">
        <v>44175</v>
      </c>
      <c r="E7" s="57">
        <v>1</v>
      </c>
      <c r="F7" s="58">
        <f>WORKDAY(D7,E7-1,tferies(YEAR(D7)))</f>
        <v>44175</v>
      </c>
      <c r="G7" s="71">
        <v>0.25</v>
      </c>
      <c r="H7" s="59">
        <f>IF(G7&gt;0,WORKDAY(D7,(E7*G7)-1,tferies(YEAR(D7))),"")</f>
        <v>44174</v>
      </c>
      <c r="AB7" s="18"/>
      <c r="AC7" s="18"/>
      <c r="AD7" s="18"/>
      <c r="AE7" s="18"/>
      <c r="AF7" s="18"/>
      <c r="AH7" s="18"/>
    </row>
    <row r="8" spans="1:34" x14ac:dyDescent="0.25">
      <c r="A8" s="45">
        <f t="shared" ref="A8:A71" si="2">A7+1</f>
        <v>7</v>
      </c>
      <c r="B8" s="36" t="s">
        <v>16</v>
      </c>
      <c r="C8" s="37" t="s">
        <v>13</v>
      </c>
      <c r="D8" s="38">
        <v>44180</v>
      </c>
      <c r="E8" s="35">
        <v>1</v>
      </c>
      <c r="F8" s="39">
        <f>WORKDAY(D8,E8-1,tferies(YEAR(D8)))</f>
        <v>44180</v>
      </c>
      <c r="G8" s="72"/>
      <c r="H8" s="46" t="str">
        <f>IF(G8&gt;0,WORKDAY(D8,(E8*G8)-1,tferies(YEAR(D8))),"")</f>
        <v/>
      </c>
      <c r="I8" t="s">
        <v>24</v>
      </c>
      <c r="AB8" s="18"/>
      <c r="AC8" s="18"/>
      <c r="AD8" s="18"/>
      <c r="AE8" s="18"/>
      <c r="AF8" s="18"/>
      <c r="AH8" s="18"/>
    </row>
    <row r="9" spans="1:34" x14ac:dyDescent="0.25">
      <c r="A9" s="60">
        <f t="shared" si="2"/>
        <v>8</v>
      </c>
      <c r="B9" s="61" t="s">
        <v>28</v>
      </c>
      <c r="C9" s="62" t="s">
        <v>13</v>
      </c>
      <c r="D9" s="67">
        <v>44179</v>
      </c>
      <c r="E9" s="68">
        <v>5</v>
      </c>
      <c r="F9" s="65">
        <f t="shared" si="0"/>
        <v>44183</v>
      </c>
      <c r="G9" s="70">
        <v>0.1</v>
      </c>
      <c r="H9" s="66">
        <f>IF(G9&gt;0,WORKDAY(D9,(E9*G9)-1,tferies(YEAR(D9))),"")</f>
        <v>44176</v>
      </c>
      <c r="AB9" s="18"/>
      <c r="AC9" s="18"/>
      <c r="AD9" s="18"/>
      <c r="AE9" s="18"/>
      <c r="AF9" s="18"/>
      <c r="AH9" s="18"/>
    </row>
    <row r="10" spans="1:34" x14ac:dyDescent="0.25">
      <c r="A10" s="60">
        <f t="shared" si="2"/>
        <v>9</v>
      </c>
      <c r="B10" s="61" t="s">
        <v>28</v>
      </c>
      <c r="C10" s="62" t="s">
        <v>13</v>
      </c>
      <c r="D10" s="67">
        <v>44221</v>
      </c>
      <c r="E10" s="68">
        <v>5</v>
      </c>
      <c r="F10" s="65">
        <f>WORKDAY(D10,E10-1,tferies(YEAR(D10)))</f>
        <v>44225</v>
      </c>
      <c r="G10" s="70">
        <v>0</v>
      </c>
      <c r="H10" s="66" t="str">
        <f>IF(G10&gt;0,WORKDAY(D10,(E10*G10)-1,tferies(YEAR(D10))),"")</f>
        <v/>
      </c>
      <c r="AB10" s="18"/>
      <c r="AC10" s="18"/>
      <c r="AD10" s="18"/>
      <c r="AE10" s="18"/>
      <c r="AF10" s="18"/>
      <c r="AH10" s="18"/>
    </row>
    <row r="11" spans="1:34" x14ac:dyDescent="0.25">
      <c r="A11" s="60">
        <f t="shared" si="2"/>
        <v>10</v>
      </c>
      <c r="B11" s="61" t="s">
        <v>28</v>
      </c>
      <c r="C11" s="62" t="s">
        <v>13</v>
      </c>
      <c r="D11" s="67">
        <v>44228</v>
      </c>
      <c r="E11" s="68">
        <v>5</v>
      </c>
      <c r="F11" s="65">
        <f>WORKDAY(D11,E11-1,tferies(YEAR(D11)))</f>
        <v>44232</v>
      </c>
      <c r="G11" s="70">
        <v>0</v>
      </c>
      <c r="H11" s="66" t="str">
        <f>IF(G11&gt;0,WORKDAY(D11,(E11*G11)-1,tferies(YEAR(D11))),"")</f>
        <v/>
      </c>
      <c r="AB11" s="18"/>
      <c r="AC11" s="18"/>
      <c r="AD11" s="18"/>
      <c r="AE11" s="18"/>
      <c r="AF11" s="18"/>
    </row>
    <row r="12" spans="1:34" x14ac:dyDescent="0.25">
      <c r="A12" s="45">
        <f t="shared" si="2"/>
        <v>11</v>
      </c>
      <c r="B12" s="36" t="s">
        <v>14</v>
      </c>
      <c r="C12" s="37" t="s">
        <v>15</v>
      </c>
      <c r="D12" s="38">
        <v>44172</v>
      </c>
      <c r="E12" s="35">
        <v>1</v>
      </c>
      <c r="F12" s="39">
        <f t="shared" ref="F12:F25" si="3">WORKDAY(D12,E12-1,tferies(YEAR(D12)))</f>
        <v>44172</v>
      </c>
      <c r="G12" s="73">
        <v>1</v>
      </c>
      <c r="H12" s="47"/>
      <c r="AB12" s="18"/>
      <c r="AC12" s="18"/>
      <c r="AD12" s="18"/>
      <c r="AE12" s="18"/>
      <c r="AF12" s="18"/>
    </row>
    <row r="13" spans="1:34" x14ac:dyDescent="0.25">
      <c r="A13" s="45">
        <f t="shared" si="2"/>
        <v>12</v>
      </c>
      <c r="B13" s="36" t="s">
        <v>25</v>
      </c>
      <c r="C13" s="37" t="s">
        <v>15</v>
      </c>
      <c r="D13" s="38">
        <v>44174</v>
      </c>
      <c r="E13" s="35">
        <v>1</v>
      </c>
      <c r="F13" s="39">
        <f t="shared" si="3"/>
        <v>44174</v>
      </c>
      <c r="G13" s="73">
        <v>1</v>
      </c>
      <c r="H13" s="47"/>
      <c r="I13" t="s">
        <v>26</v>
      </c>
      <c r="AB13" s="18"/>
      <c r="AC13" s="18"/>
      <c r="AD13" s="18"/>
      <c r="AE13" s="18"/>
      <c r="AF13" s="18"/>
    </row>
    <row r="14" spans="1:34" x14ac:dyDescent="0.25">
      <c r="A14" s="45">
        <f t="shared" si="2"/>
        <v>13</v>
      </c>
      <c r="B14" s="41" t="s">
        <v>25</v>
      </c>
      <c r="C14" s="40" t="s">
        <v>15</v>
      </c>
      <c r="D14" s="38">
        <v>44176</v>
      </c>
      <c r="E14" s="35">
        <v>1</v>
      </c>
      <c r="F14" s="39">
        <f t="shared" si="3"/>
        <v>44176</v>
      </c>
      <c r="G14" s="73"/>
      <c r="H14" s="47"/>
      <c r="I14" t="s">
        <v>27</v>
      </c>
      <c r="AB14" s="18"/>
      <c r="AC14" s="18"/>
      <c r="AD14" s="18"/>
      <c r="AE14" s="18"/>
      <c r="AF14" s="18"/>
    </row>
    <row r="15" spans="1:34" x14ac:dyDescent="0.25">
      <c r="A15" s="45">
        <f t="shared" si="2"/>
        <v>14</v>
      </c>
      <c r="B15" s="41" t="s">
        <v>16</v>
      </c>
      <c r="C15" s="40" t="s">
        <v>13</v>
      </c>
      <c r="D15" s="38">
        <v>44183</v>
      </c>
      <c r="E15" s="35">
        <v>1</v>
      </c>
      <c r="F15" s="39">
        <f t="shared" si="3"/>
        <v>44183</v>
      </c>
      <c r="G15" s="73"/>
      <c r="H15" s="47"/>
      <c r="AB15" s="18"/>
      <c r="AC15" s="18"/>
      <c r="AD15" s="18"/>
      <c r="AE15" s="18"/>
      <c r="AF15" s="18"/>
    </row>
    <row r="16" spans="1:34" x14ac:dyDescent="0.25">
      <c r="A16" s="45">
        <f t="shared" si="2"/>
        <v>15</v>
      </c>
      <c r="B16" s="41"/>
      <c r="C16" s="40"/>
      <c r="D16" s="38"/>
      <c r="E16" s="35"/>
      <c r="F16" s="39"/>
      <c r="G16" s="73"/>
      <c r="H16" s="47"/>
    </row>
    <row r="17" spans="1:32" x14ac:dyDescent="0.25">
      <c r="A17" s="45">
        <f t="shared" si="2"/>
        <v>16</v>
      </c>
      <c r="B17" s="41"/>
      <c r="C17" s="40"/>
      <c r="D17" s="38"/>
      <c r="E17" s="41"/>
      <c r="F17" s="39"/>
      <c r="G17" s="74"/>
      <c r="H17" s="47"/>
    </row>
    <row r="18" spans="1:32" x14ac:dyDescent="0.25">
      <c r="A18" s="45">
        <f t="shared" si="2"/>
        <v>17</v>
      </c>
      <c r="B18" s="41"/>
      <c r="C18" s="40"/>
      <c r="D18" s="38"/>
      <c r="E18" s="35"/>
      <c r="F18" s="39"/>
      <c r="G18" s="73"/>
      <c r="H18" s="47"/>
      <c r="AB18" s="18"/>
      <c r="AC18" s="18"/>
      <c r="AD18" s="18"/>
      <c r="AE18" s="18"/>
      <c r="AF18" s="18"/>
    </row>
    <row r="19" spans="1:32" x14ac:dyDescent="0.25">
      <c r="A19" s="45">
        <f t="shared" si="2"/>
        <v>18</v>
      </c>
      <c r="B19" s="41"/>
      <c r="C19" s="40"/>
      <c r="D19" s="38"/>
      <c r="E19" s="35"/>
      <c r="F19" s="39"/>
      <c r="G19" s="73"/>
      <c r="H19" s="47"/>
      <c r="AB19" s="18"/>
      <c r="AC19" s="18"/>
      <c r="AD19" s="18"/>
      <c r="AE19" s="18"/>
      <c r="AF19" s="18"/>
    </row>
    <row r="20" spans="1:32" x14ac:dyDescent="0.25">
      <c r="A20" s="45">
        <f t="shared" si="2"/>
        <v>19</v>
      </c>
      <c r="B20" s="41"/>
      <c r="C20" s="40"/>
      <c r="D20" s="38"/>
      <c r="E20" s="35"/>
      <c r="F20" s="39"/>
      <c r="G20" s="73"/>
      <c r="H20" s="47"/>
    </row>
    <row r="21" spans="1:32" x14ac:dyDescent="0.25">
      <c r="A21" s="45">
        <f t="shared" si="2"/>
        <v>20</v>
      </c>
      <c r="B21" s="41"/>
      <c r="C21" s="40"/>
      <c r="D21" s="40"/>
      <c r="E21" s="35"/>
      <c r="F21" s="39"/>
      <c r="G21" s="73"/>
      <c r="H21" s="47"/>
    </row>
    <row r="22" spans="1:32" x14ac:dyDescent="0.25">
      <c r="A22" s="45">
        <f t="shared" si="2"/>
        <v>21</v>
      </c>
      <c r="B22" s="41"/>
      <c r="C22" s="40"/>
      <c r="D22" s="40"/>
      <c r="E22" s="35"/>
      <c r="F22" s="39"/>
      <c r="G22" s="73"/>
      <c r="H22" s="47"/>
    </row>
    <row r="23" spans="1:32" x14ac:dyDescent="0.25">
      <c r="A23" s="45">
        <f t="shared" si="2"/>
        <v>22</v>
      </c>
      <c r="B23" s="41"/>
      <c r="C23" s="40"/>
      <c r="D23" s="40"/>
      <c r="E23" s="35"/>
      <c r="F23" s="39"/>
      <c r="G23" s="73"/>
      <c r="H23" s="47"/>
    </row>
    <row r="24" spans="1:32" x14ac:dyDescent="0.25">
      <c r="A24" s="45">
        <f t="shared" si="2"/>
        <v>23</v>
      </c>
      <c r="B24" s="41"/>
      <c r="C24" s="40"/>
      <c r="D24" s="40"/>
      <c r="E24" s="35"/>
      <c r="F24" s="39"/>
      <c r="G24" s="73"/>
      <c r="H24" s="47"/>
    </row>
    <row r="25" spans="1:32" x14ac:dyDescent="0.25">
      <c r="A25" s="45">
        <f t="shared" si="2"/>
        <v>24</v>
      </c>
      <c r="B25" s="41"/>
      <c r="C25" s="40"/>
      <c r="D25" s="40"/>
      <c r="E25" s="35"/>
      <c r="F25" s="39"/>
      <c r="G25" s="73"/>
      <c r="H25" s="47"/>
    </row>
    <row r="26" spans="1:32" x14ac:dyDescent="0.25">
      <c r="A26" s="45">
        <f t="shared" si="2"/>
        <v>25</v>
      </c>
      <c r="B26" s="41"/>
      <c r="C26" s="40"/>
      <c r="D26" s="40"/>
      <c r="E26" s="35"/>
      <c r="F26" s="40"/>
      <c r="G26" s="73"/>
      <c r="H26" s="47"/>
    </row>
    <row r="27" spans="1:32" x14ac:dyDescent="0.25">
      <c r="A27" s="45">
        <f t="shared" si="2"/>
        <v>26</v>
      </c>
      <c r="B27" s="41"/>
      <c r="C27" s="40"/>
      <c r="D27" s="40"/>
      <c r="E27" s="35"/>
      <c r="F27" s="40"/>
      <c r="G27" s="73"/>
      <c r="H27" s="47"/>
    </row>
    <row r="28" spans="1:32" x14ac:dyDescent="0.25">
      <c r="A28" s="45">
        <f t="shared" si="2"/>
        <v>27</v>
      </c>
      <c r="B28" s="41"/>
      <c r="C28" s="40"/>
      <c r="D28" s="40"/>
      <c r="E28" s="35"/>
      <c r="F28" s="40"/>
      <c r="G28" s="73"/>
      <c r="H28" s="47"/>
    </row>
    <row r="29" spans="1:32" x14ac:dyDescent="0.25">
      <c r="A29" s="45">
        <f t="shared" si="2"/>
        <v>28</v>
      </c>
      <c r="B29" s="41"/>
      <c r="C29" s="40"/>
      <c r="D29" s="40"/>
      <c r="E29" s="35"/>
      <c r="F29" s="40"/>
      <c r="G29" s="73"/>
      <c r="H29" s="47"/>
    </row>
    <row r="30" spans="1:32" x14ac:dyDescent="0.25">
      <c r="A30" s="45">
        <f t="shared" si="2"/>
        <v>29</v>
      </c>
      <c r="B30" s="41"/>
      <c r="C30" s="40"/>
      <c r="D30" s="40"/>
      <c r="E30" s="35"/>
      <c r="F30" s="40"/>
      <c r="G30" s="73"/>
      <c r="H30" s="47"/>
    </row>
    <row r="31" spans="1:32" x14ac:dyDescent="0.25">
      <c r="A31" s="45">
        <f t="shared" si="2"/>
        <v>30</v>
      </c>
      <c r="B31" s="41"/>
      <c r="C31" s="40"/>
      <c r="D31" s="40"/>
      <c r="E31" s="35"/>
      <c r="F31" s="40"/>
      <c r="G31" s="73"/>
      <c r="H31" s="47"/>
    </row>
    <row r="32" spans="1:32" x14ac:dyDescent="0.25">
      <c r="A32" s="45">
        <f t="shared" si="2"/>
        <v>31</v>
      </c>
      <c r="B32" s="41"/>
      <c r="C32" s="40"/>
      <c r="D32" s="40"/>
      <c r="E32" s="35"/>
      <c r="F32" s="40"/>
      <c r="G32" s="73"/>
      <c r="H32" s="47"/>
    </row>
    <row r="33" spans="1:8" x14ac:dyDescent="0.25">
      <c r="A33" s="45">
        <f t="shared" si="2"/>
        <v>32</v>
      </c>
      <c r="B33" s="41"/>
      <c r="C33" s="40"/>
      <c r="D33" s="40"/>
      <c r="E33" s="35"/>
      <c r="F33" s="40"/>
      <c r="G33" s="73"/>
      <c r="H33" s="47"/>
    </row>
    <row r="34" spans="1:8" x14ac:dyDescent="0.25">
      <c r="A34" s="45">
        <f t="shared" si="2"/>
        <v>33</v>
      </c>
      <c r="B34" s="41"/>
      <c r="C34" s="40"/>
      <c r="D34" s="40"/>
      <c r="E34" s="35"/>
      <c r="F34" s="40"/>
      <c r="G34" s="73"/>
      <c r="H34" s="47"/>
    </row>
    <row r="35" spans="1:8" x14ac:dyDescent="0.25">
      <c r="A35" s="45">
        <f t="shared" si="2"/>
        <v>34</v>
      </c>
      <c r="B35" s="41"/>
      <c r="C35" s="40"/>
      <c r="D35" s="40"/>
      <c r="E35" s="35"/>
      <c r="F35" s="40"/>
      <c r="G35" s="73"/>
      <c r="H35" s="47"/>
    </row>
    <row r="36" spans="1:8" x14ac:dyDescent="0.25">
      <c r="A36" s="45">
        <f t="shared" si="2"/>
        <v>35</v>
      </c>
      <c r="B36" s="41"/>
      <c r="C36" s="40"/>
      <c r="D36" s="40"/>
      <c r="E36" s="35"/>
      <c r="F36" s="40"/>
      <c r="G36" s="73"/>
      <c r="H36" s="47"/>
    </row>
    <row r="37" spans="1:8" x14ac:dyDescent="0.25">
      <c r="A37" s="45">
        <f t="shared" si="2"/>
        <v>36</v>
      </c>
      <c r="B37" s="41"/>
      <c r="C37" s="40"/>
      <c r="D37" s="40"/>
      <c r="E37" s="35"/>
      <c r="F37" s="40"/>
      <c r="G37" s="73"/>
      <c r="H37" s="47"/>
    </row>
    <row r="38" spans="1:8" x14ac:dyDescent="0.25">
      <c r="A38" s="45">
        <f t="shared" si="2"/>
        <v>37</v>
      </c>
      <c r="B38" s="41"/>
      <c r="C38" s="40"/>
      <c r="D38" s="40"/>
      <c r="E38" s="35"/>
      <c r="F38" s="40"/>
      <c r="G38" s="73"/>
      <c r="H38" s="47"/>
    </row>
    <row r="39" spans="1:8" x14ac:dyDescent="0.25">
      <c r="A39" s="45">
        <f t="shared" si="2"/>
        <v>38</v>
      </c>
      <c r="B39" s="41"/>
      <c r="C39" s="40"/>
      <c r="D39" s="40"/>
      <c r="E39" s="35"/>
      <c r="F39" s="40"/>
      <c r="G39" s="73"/>
      <c r="H39" s="47"/>
    </row>
    <row r="40" spans="1:8" x14ac:dyDescent="0.25">
      <c r="A40" s="45">
        <f t="shared" si="2"/>
        <v>39</v>
      </c>
      <c r="B40" s="41"/>
      <c r="C40" s="40"/>
      <c r="D40" s="40"/>
      <c r="E40" s="35"/>
      <c r="F40" s="40"/>
      <c r="G40" s="73"/>
      <c r="H40" s="47"/>
    </row>
    <row r="41" spans="1:8" x14ac:dyDescent="0.25">
      <c r="A41" s="45">
        <f t="shared" si="2"/>
        <v>40</v>
      </c>
      <c r="B41" s="41"/>
      <c r="C41" s="40"/>
      <c r="D41" s="40"/>
      <c r="E41" s="35"/>
      <c r="F41" s="40"/>
      <c r="G41" s="73"/>
      <c r="H41" s="47"/>
    </row>
    <row r="42" spans="1:8" x14ac:dyDescent="0.25">
      <c r="A42" s="45">
        <f t="shared" si="2"/>
        <v>41</v>
      </c>
      <c r="B42" s="41"/>
      <c r="C42" s="40"/>
      <c r="D42" s="40"/>
      <c r="E42" s="35"/>
      <c r="F42" s="40"/>
      <c r="G42" s="73"/>
      <c r="H42" s="47"/>
    </row>
    <row r="43" spans="1:8" x14ac:dyDescent="0.25">
      <c r="A43" s="45">
        <f t="shared" si="2"/>
        <v>42</v>
      </c>
      <c r="B43" s="41"/>
      <c r="C43" s="40"/>
      <c r="D43" s="40"/>
      <c r="E43" s="35"/>
      <c r="F43" s="40"/>
      <c r="G43" s="73"/>
      <c r="H43" s="47"/>
    </row>
    <row r="44" spans="1:8" x14ac:dyDescent="0.25">
      <c r="A44" s="45">
        <f t="shared" si="2"/>
        <v>43</v>
      </c>
      <c r="B44" s="41"/>
      <c r="C44" s="40"/>
      <c r="D44" s="40"/>
      <c r="E44" s="35"/>
      <c r="F44" s="40"/>
      <c r="G44" s="73"/>
      <c r="H44" s="47"/>
    </row>
    <row r="45" spans="1:8" x14ac:dyDescent="0.25">
      <c r="A45" s="45">
        <f t="shared" si="2"/>
        <v>44</v>
      </c>
      <c r="B45" s="41"/>
      <c r="C45" s="40"/>
      <c r="D45" s="40"/>
      <c r="E45" s="35"/>
      <c r="F45" s="40"/>
      <c r="G45" s="73"/>
      <c r="H45" s="47"/>
    </row>
    <row r="46" spans="1:8" x14ac:dyDescent="0.25">
      <c r="A46" s="45">
        <f t="shared" si="2"/>
        <v>45</v>
      </c>
      <c r="B46" s="41"/>
      <c r="C46" s="40"/>
      <c r="D46" s="40"/>
      <c r="E46" s="35"/>
      <c r="F46" s="40"/>
      <c r="G46" s="73"/>
      <c r="H46" s="47"/>
    </row>
    <row r="47" spans="1:8" x14ac:dyDescent="0.25">
      <c r="A47" s="45">
        <f t="shared" si="2"/>
        <v>46</v>
      </c>
      <c r="B47" s="41"/>
      <c r="C47" s="40"/>
      <c r="D47" s="40"/>
      <c r="E47" s="35"/>
      <c r="F47" s="40"/>
      <c r="G47" s="73"/>
      <c r="H47" s="47"/>
    </row>
    <row r="48" spans="1:8" x14ac:dyDescent="0.25">
      <c r="A48" s="45">
        <f t="shared" si="2"/>
        <v>47</v>
      </c>
      <c r="B48" s="41"/>
      <c r="C48" s="40"/>
      <c r="D48" s="40"/>
      <c r="E48" s="35"/>
      <c r="F48" s="40"/>
      <c r="G48" s="73"/>
      <c r="H48" s="47"/>
    </row>
    <row r="49" spans="1:8" x14ac:dyDescent="0.25">
      <c r="A49" s="45">
        <f t="shared" si="2"/>
        <v>48</v>
      </c>
      <c r="B49" s="41"/>
      <c r="C49" s="40"/>
      <c r="D49" s="40"/>
      <c r="E49" s="35"/>
      <c r="F49" s="40"/>
      <c r="G49" s="73"/>
      <c r="H49" s="47"/>
    </row>
    <row r="50" spans="1:8" x14ac:dyDescent="0.25">
      <c r="A50" s="45">
        <f t="shared" si="2"/>
        <v>49</v>
      </c>
      <c r="B50" s="41"/>
      <c r="C50" s="40"/>
      <c r="D50" s="40"/>
      <c r="E50" s="35"/>
      <c r="F50" s="40"/>
      <c r="G50" s="73"/>
      <c r="H50" s="47"/>
    </row>
    <row r="51" spans="1:8" x14ac:dyDescent="0.25">
      <c r="A51" s="45">
        <f t="shared" si="2"/>
        <v>50</v>
      </c>
      <c r="B51" s="41"/>
      <c r="C51" s="40"/>
      <c r="D51" s="40"/>
      <c r="E51" s="35"/>
      <c r="F51" s="40"/>
      <c r="G51" s="73"/>
      <c r="H51" s="47"/>
    </row>
    <row r="52" spans="1:8" x14ac:dyDescent="0.25">
      <c r="A52" s="45">
        <f t="shared" si="2"/>
        <v>51</v>
      </c>
      <c r="B52" s="41"/>
      <c r="C52" s="40"/>
      <c r="D52" s="40"/>
      <c r="E52" s="35"/>
      <c r="F52" s="40"/>
      <c r="G52" s="73"/>
      <c r="H52" s="47"/>
    </row>
    <row r="53" spans="1:8" x14ac:dyDescent="0.25">
      <c r="A53" s="45">
        <f t="shared" si="2"/>
        <v>52</v>
      </c>
      <c r="B53" s="41"/>
      <c r="C53" s="40"/>
      <c r="D53" s="40"/>
      <c r="E53" s="35"/>
      <c r="F53" s="40"/>
      <c r="G53" s="73"/>
      <c r="H53" s="47"/>
    </row>
    <row r="54" spans="1:8" x14ac:dyDescent="0.25">
      <c r="A54" s="45">
        <f t="shared" si="2"/>
        <v>53</v>
      </c>
      <c r="B54" s="41"/>
      <c r="C54" s="40"/>
      <c r="D54" s="40"/>
      <c r="E54" s="35"/>
      <c r="F54" s="40"/>
      <c r="G54" s="73"/>
      <c r="H54" s="47"/>
    </row>
    <row r="55" spans="1:8" x14ac:dyDescent="0.25">
      <c r="A55" s="45">
        <f t="shared" si="2"/>
        <v>54</v>
      </c>
      <c r="B55" s="41"/>
      <c r="C55" s="40"/>
      <c r="D55" s="40"/>
      <c r="E55" s="35"/>
      <c r="F55" s="40"/>
      <c r="G55" s="73"/>
      <c r="H55" s="47"/>
    </row>
    <row r="56" spans="1:8" x14ac:dyDescent="0.25">
      <c r="A56" s="45">
        <f t="shared" si="2"/>
        <v>55</v>
      </c>
      <c r="B56" s="41"/>
      <c r="C56" s="40"/>
      <c r="D56" s="40"/>
      <c r="E56" s="35"/>
      <c r="F56" s="40"/>
      <c r="G56" s="73"/>
      <c r="H56" s="47"/>
    </row>
    <row r="57" spans="1:8" x14ac:dyDescent="0.25">
      <c r="A57" s="45">
        <f t="shared" si="2"/>
        <v>56</v>
      </c>
      <c r="B57" s="41"/>
      <c r="C57" s="40"/>
      <c r="D57" s="40"/>
      <c r="E57" s="35"/>
      <c r="F57" s="40"/>
      <c r="G57" s="73"/>
      <c r="H57" s="47"/>
    </row>
    <row r="58" spans="1:8" x14ac:dyDescent="0.25">
      <c r="A58" s="45">
        <f t="shared" si="2"/>
        <v>57</v>
      </c>
      <c r="B58" s="41"/>
      <c r="C58" s="40"/>
      <c r="D58" s="40"/>
      <c r="E58" s="35"/>
      <c r="F58" s="40"/>
      <c r="G58" s="73"/>
      <c r="H58" s="47"/>
    </row>
    <row r="59" spans="1:8" x14ac:dyDescent="0.25">
      <c r="A59" s="45">
        <f t="shared" si="2"/>
        <v>58</v>
      </c>
      <c r="B59" s="41"/>
      <c r="C59" s="40"/>
      <c r="D59" s="40"/>
      <c r="E59" s="35"/>
      <c r="F59" s="40"/>
      <c r="G59" s="73"/>
      <c r="H59" s="47"/>
    </row>
    <row r="60" spans="1:8" x14ac:dyDescent="0.25">
      <c r="A60" s="45">
        <f t="shared" si="2"/>
        <v>59</v>
      </c>
      <c r="B60" s="41"/>
      <c r="C60" s="40"/>
      <c r="D60" s="40"/>
      <c r="E60" s="35"/>
      <c r="F60" s="40"/>
      <c r="G60" s="73"/>
      <c r="H60" s="47"/>
    </row>
    <row r="61" spans="1:8" x14ac:dyDescent="0.25">
      <c r="A61" s="45">
        <f t="shared" si="2"/>
        <v>60</v>
      </c>
      <c r="B61" s="41"/>
      <c r="C61" s="40"/>
      <c r="D61" s="40"/>
      <c r="E61" s="35"/>
      <c r="F61" s="40"/>
      <c r="G61" s="73"/>
      <c r="H61" s="47"/>
    </row>
    <row r="62" spans="1:8" x14ac:dyDescent="0.25">
      <c r="A62" s="45">
        <f t="shared" si="2"/>
        <v>61</v>
      </c>
      <c r="B62" s="41"/>
      <c r="C62" s="40"/>
      <c r="D62" s="40"/>
      <c r="E62" s="35"/>
      <c r="F62" s="40"/>
      <c r="G62" s="73"/>
      <c r="H62" s="47"/>
    </row>
    <row r="63" spans="1:8" x14ac:dyDescent="0.25">
      <c r="A63" s="45">
        <f t="shared" si="2"/>
        <v>62</v>
      </c>
      <c r="B63" s="41"/>
      <c r="C63" s="40"/>
      <c r="D63" s="40"/>
      <c r="E63" s="35"/>
      <c r="F63" s="40"/>
      <c r="G63" s="73"/>
      <c r="H63" s="47"/>
    </row>
    <row r="64" spans="1:8" x14ac:dyDescent="0.25">
      <c r="A64" s="45">
        <f t="shared" si="2"/>
        <v>63</v>
      </c>
      <c r="B64" s="41"/>
      <c r="C64" s="40"/>
      <c r="D64" s="40"/>
      <c r="E64" s="35"/>
      <c r="F64" s="40"/>
      <c r="G64" s="73"/>
      <c r="H64" s="47"/>
    </row>
    <row r="65" spans="1:8" x14ac:dyDescent="0.25">
      <c r="A65" s="45">
        <f t="shared" si="2"/>
        <v>64</v>
      </c>
      <c r="B65" s="41"/>
      <c r="C65" s="40"/>
      <c r="D65" s="40"/>
      <c r="E65" s="35"/>
      <c r="F65" s="40"/>
      <c r="G65" s="73"/>
      <c r="H65" s="47"/>
    </row>
    <row r="66" spans="1:8" x14ac:dyDescent="0.25">
      <c r="A66" s="45">
        <f t="shared" si="2"/>
        <v>65</v>
      </c>
      <c r="B66" s="41"/>
      <c r="C66" s="40"/>
      <c r="D66" s="40"/>
      <c r="E66" s="35"/>
      <c r="F66" s="40"/>
      <c r="G66" s="73"/>
      <c r="H66" s="47"/>
    </row>
    <row r="67" spans="1:8" x14ac:dyDescent="0.25">
      <c r="A67" s="45">
        <f t="shared" si="2"/>
        <v>66</v>
      </c>
      <c r="B67" s="41"/>
      <c r="C67" s="40"/>
      <c r="D67" s="40"/>
      <c r="E67" s="35"/>
      <c r="F67" s="40"/>
      <c r="G67" s="73"/>
      <c r="H67" s="47"/>
    </row>
    <row r="68" spans="1:8" x14ac:dyDescent="0.25">
      <c r="A68" s="45">
        <f t="shared" si="2"/>
        <v>67</v>
      </c>
      <c r="B68" s="41"/>
      <c r="C68" s="40"/>
      <c r="D68" s="40"/>
      <c r="E68" s="35"/>
      <c r="F68" s="40"/>
      <c r="G68" s="73"/>
      <c r="H68" s="47"/>
    </row>
    <row r="69" spans="1:8" x14ac:dyDescent="0.25">
      <c r="A69" s="45">
        <f t="shared" si="2"/>
        <v>68</v>
      </c>
      <c r="B69" s="41"/>
      <c r="C69" s="40"/>
      <c r="D69" s="40"/>
      <c r="E69" s="35"/>
      <c r="F69" s="40"/>
      <c r="G69" s="73"/>
      <c r="H69" s="47"/>
    </row>
    <row r="70" spans="1:8" x14ac:dyDescent="0.25">
      <c r="A70" s="45">
        <f t="shared" si="2"/>
        <v>69</v>
      </c>
      <c r="B70" s="41"/>
      <c r="C70" s="40"/>
      <c r="D70" s="40"/>
      <c r="E70" s="35"/>
      <c r="F70" s="40"/>
      <c r="G70" s="73"/>
      <c r="H70" s="47"/>
    </row>
    <row r="71" spans="1:8" x14ac:dyDescent="0.25">
      <c r="A71" s="45">
        <f t="shared" si="2"/>
        <v>70</v>
      </c>
      <c r="B71" s="41"/>
      <c r="C71" s="40"/>
      <c r="D71" s="40"/>
      <c r="E71" s="35"/>
      <c r="F71" s="40"/>
      <c r="G71" s="73"/>
      <c r="H71" s="47"/>
    </row>
    <row r="72" spans="1:8" x14ac:dyDescent="0.25">
      <c r="A72" s="45">
        <f t="shared" ref="A72:A73" si="4">A71+1</f>
        <v>71</v>
      </c>
      <c r="B72" s="41"/>
      <c r="C72" s="40"/>
      <c r="D72" s="40"/>
      <c r="E72" s="35"/>
      <c r="F72" s="40"/>
      <c r="G72" s="73"/>
      <c r="H72" s="47"/>
    </row>
    <row r="73" spans="1:8" ht="15.75" thickBot="1" x14ac:dyDescent="0.3">
      <c r="A73" s="45">
        <f t="shared" si="4"/>
        <v>72</v>
      </c>
      <c r="B73" s="48"/>
      <c r="C73" s="49"/>
      <c r="D73" s="49"/>
      <c r="E73" s="50"/>
      <c r="F73" s="49"/>
      <c r="G73" s="75"/>
      <c r="H73" s="51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45" zoomScaleNormal="14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5" x14ac:dyDescent="0.25"/>
  <cols>
    <col min="1" max="1" width="1.85546875" customWidth="1"/>
    <col min="2" max="2" width="12.7109375" customWidth="1"/>
    <col min="3" max="3" width="14.42578125" customWidth="1"/>
    <col min="4" max="93" width="3" customWidth="1"/>
    <col min="94" max="96" width="3" hidden="1" customWidth="1"/>
    <col min="97" max="127" width="3" customWidth="1"/>
    <col min="128" max="219" width="2.85546875" customWidth="1"/>
    <col min="220" max="220" width="2.85546875" hidden="1" customWidth="1"/>
    <col min="221" max="281" width="2.85546875" customWidth="1"/>
    <col min="282" max="282" width="2.85546875" hidden="1" customWidth="1"/>
    <col min="283" max="372" width="2.85546875" customWidth="1"/>
    <col min="373" max="375" width="2.85546875" hidden="1" customWidth="1"/>
    <col min="376" max="762" width="2.85546875" customWidth="1"/>
  </cols>
  <sheetData>
    <row r="1" spans="1:127" ht="42.6" customHeight="1" x14ac:dyDescent="0.25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25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25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17">
        <v>44174</v>
      </c>
      <c r="M3" s="32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3.1" customHeight="1" x14ac:dyDescent="0.25">
      <c r="A4" s="4"/>
      <c r="B4" s="15" t="s">
        <v>17</v>
      </c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28" t="str">
        <f t="shared" si="0"/>
        <v/>
      </c>
      <c r="M4" s="33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3.1" customHeight="1" x14ac:dyDescent="0.25">
      <c r="A5" s="5"/>
      <c r="B5" s="15" t="s">
        <v>18</v>
      </c>
      <c r="C5" s="16"/>
      <c r="D5" s="3"/>
      <c r="E5" s="3"/>
      <c r="F5" s="3"/>
      <c r="G5" s="3"/>
      <c r="H5" s="27"/>
      <c r="I5" s="27"/>
      <c r="J5" s="3"/>
      <c r="K5" s="3"/>
      <c r="L5" s="3"/>
      <c r="M5" s="34"/>
      <c r="N5" s="3"/>
      <c r="O5" s="27"/>
      <c r="P5" s="27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3.1" customHeight="1" x14ac:dyDescent="0.25">
      <c r="A6" s="6"/>
      <c r="B6" s="15" t="s">
        <v>14</v>
      </c>
      <c r="C6" s="16"/>
      <c r="D6" s="3"/>
      <c r="E6" s="3"/>
      <c r="F6" s="3"/>
      <c r="G6" s="3"/>
      <c r="H6" s="27"/>
      <c r="I6" s="27"/>
      <c r="J6" s="3"/>
      <c r="K6" s="3"/>
      <c r="L6" s="3"/>
      <c r="M6" s="34"/>
      <c r="N6" s="3"/>
      <c r="O6" s="27"/>
      <c r="P6" s="27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3.1" customHeight="1" x14ac:dyDescent="0.25">
      <c r="A7" s="4"/>
      <c r="B7" s="15" t="s">
        <v>28</v>
      </c>
      <c r="C7" s="16"/>
      <c r="D7" s="3"/>
      <c r="E7" s="3"/>
      <c r="F7" s="3"/>
      <c r="G7" s="3"/>
      <c r="H7" s="27"/>
      <c r="I7" s="27"/>
      <c r="J7" s="3"/>
      <c r="K7" s="3"/>
      <c r="L7" s="3"/>
      <c r="M7" s="34"/>
      <c r="N7" s="3"/>
      <c r="O7" s="27"/>
      <c r="P7" s="27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3.1" customHeight="1" x14ac:dyDescent="0.25">
      <c r="A8" s="8"/>
      <c r="B8" s="15" t="s">
        <v>19</v>
      </c>
      <c r="C8" s="16"/>
      <c r="D8" s="3"/>
      <c r="E8" s="3"/>
      <c r="F8" s="3"/>
      <c r="G8" s="3"/>
      <c r="H8" s="27"/>
      <c r="I8" s="27"/>
      <c r="J8" s="3"/>
      <c r="K8" s="3"/>
      <c r="L8" s="3"/>
      <c r="M8" s="34"/>
      <c r="N8" s="3"/>
      <c r="O8" s="27"/>
      <c r="P8" s="27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3.1" customHeight="1" x14ac:dyDescent="0.25">
      <c r="A9" s="4"/>
      <c r="B9" s="15" t="s">
        <v>25</v>
      </c>
      <c r="C9" s="16"/>
      <c r="D9" s="3"/>
      <c r="E9" s="3"/>
      <c r="F9" s="3"/>
      <c r="G9" s="3"/>
      <c r="H9" s="27"/>
      <c r="I9" s="27"/>
      <c r="J9" s="3"/>
      <c r="K9" s="3"/>
      <c r="L9" s="3"/>
      <c r="M9" s="34"/>
      <c r="N9" s="3"/>
      <c r="O9" s="27"/>
      <c r="P9" s="27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3.1" customHeight="1" x14ac:dyDescent="0.25">
      <c r="A10" s="5"/>
      <c r="B10" s="15" t="s">
        <v>20</v>
      </c>
      <c r="C10" s="16"/>
      <c r="D10" s="3"/>
      <c r="E10" s="3"/>
      <c r="F10" s="3"/>
      <c r="G10" s="3"/>
      <c r="H10" s="27"/>
      <c r="I10" s="27"/>
      <c r="J10" s="3"/>
      <c r="K10" s="3"/>
      <c r="L10" s="3"/>
      <c r="M10" s="34"/>
      <c r="N10" s="3"/>
      <c r="O10" s="27"/>
      <c r="P10" s="27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3.1" customHeight="1" x14ac:dyDescent="0.25">
      <c r="A11" s="6"/>
      <c r="B11" s="15" t="s">
        <v>21</v>
      </c>
      <c r="C11" s="16"/>
      <c r="D11" s="3"/>
      <c r="E11" s="3"/>
      <c r="F11" s="3"/>
      <c r="G11" s="3"/>
      <c r="H11" s="27"/>
      <c r="I11" s="27"/>
      <c r="J11" s="3"/>
      <c r="K11" s="3"/>
      <c r="L11" s="3"/>
      <c r="M11" s="34"/>
      <c r="N11" s="3"/>
      <c r="O11" s="27"/>
      <c r="P11" s="27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3.1" customHeight="1" x14ac:dyDescent="0.25">
      <c r="A12" s="7"/>
      <c r="B12" s="15" t="s">
        <v>16</v>
      </c>
      <c r="C12" s="16"/>
      <c r="D12" s="3"/>
      <c r="E12" s="3"/>
      <c r="F12" s="3"/>
      <c r="G12" s="3"/>
      <c r="H12" s="27"/>
      <c r="I12" s="27"/>
      <c r="J12" s="3"/>
      <c r="K12" s="3"/>
      <c r="L12" s="3"/>
      <c r="M12" s="34"/>
      <c r="N12" s="3"/>
      <c r="O12" s="27"/>
      <c r="P12" s="27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3.1" customHeight="1" x14ac:dyDescent="0.25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"/>
      <c r="M13" s="34"/>
      <c r="N13" s="3"/>
      <c r="O13" s="27"/>
      <c r="P13" s="27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3.1" customHeight="1" x14ac:dyDescent="0.25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28" t="str">
        <f t="shared" si="3"/>
        <v/>
      </c>
      <c r="M14" s="33" t="str">
        <f t="shared" si="3"/>
        <v/>
      </c>
      <c r="N14" s="28" t="str">
        <f t="shared" si="3"/>
        <v/>
      </c>
      <c r="O14" s="29" t="str">
        <f t="shared" si="3"/>
        <v/>
      </c>
      <c r="P14" s="29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3.1" customHeight="1" x14ac:dyDescent="0.25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"/>
      <c r="M15" s="34"/>
      <c r="N15" s="3"/>
      <c r="O15" s="27"/>
      <c r="P15" s="27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3.1" customHeight="1" x14ac:dyDescent="0.25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"/>
      <c r="M16" s="34"/>
      <c r="N16" s="3"/>
      <c r="O16" s="27"/>
      <c r="P16" s="27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3.1" customHeight="1" x14ac:dyDescent="0.25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"/>
      <c r="M17" s="34"/>
      <c r="N17" s="3"/>
      <c r="O17" s="27"/>
      <c r="P17" s="27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3.1" customHeight="1" x14ac:dyDescent="0.25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"/>
      <c r="M18" s="34"/>
      <c r="N18" s="3"/>
      <c r="O18" s="27"/>
      <c r="P18" s="27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3.1" customHeight="1" x14ac:dyDescent="0.25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"/>
      <c r="M19" s="34"/>
      <c r="N19" s="3"/>
      <c r="O19" s="27"/>
      <c r="P19" s="27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3.1" customHeight="1" x14ac:dyDescent="0.25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"/>
      <c r="M20" s="34"/>
      <c r="N20" s="3"/>
      <c r="O20" s="27"/>
      <c r="P20" s="27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3.1" customHeight="1" x14ac:dyDescent="0.25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"/>
      <c r="M21" s="34"/>
      <c r="N21" s="3"/>
      <c r="O21" s="27"/>
      <c r="P21" s="27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3.1" customHeight="1" x14ac:dyDescent="0.25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"/>
      <c r="M22" s="34"/>
      <c r="N22" s="3"/>
      <c r="O22" s="27"/>
      <c r="P22" s="27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3.1" customHeight="1" x14ac:dyDescent="0.25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"/>
      <c r="M23" s="34"/>
      <c r="N23" s="3"/>
      <c r="O23" s="27"/>
      <c r="P23" s="27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3.1" customHeight="1" x14ac:dyDescent="0.25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28" t="str">
        <f t="shared" si="6"/>
        <v/>
      </c>
      <c r="M24" s="33" t="str">
        <f t="shared" si="6"/>
        <v/>
      </c>
      <c r="N24" s="28" t="str">
        <f t="shared" si="6"/>
        <v/>
      </c>
      <c r="O24" s="29" t="str">
        <f t="shared" si="6"/>
        <v/>
      </c>
      <c r="P24" s="29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3.1" customHeight="1" x14ac:dyDescent="0.25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"/>
      <c r="M25" s="34"/>
      <c r="N25" s="3"/>
      <c r="O25" s="27"/>
      <c r="P25" s="27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3.1" customHeight="1" x14ac:dyDescent="0.25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"/>
      <c r="M26" s="34"/>
      <c r="N26" s="3"/>
      <c r="O26" s="27"/>
      <c r="P26" s="27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3.1" customHeight="1" x14ac:dyDescent="0.25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"/>
      <c r="M27" s="34"/>
      <c r="N27" s="3"/>
      <c r="O27" s="27"/>
      <c r="P27" s="27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3.1" customHeight="1" x14ac:dyDescent="0.25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"/>
      <c r="M28" s="34"/>
      <c r="N28" s="3"/>
      <c r="O28" s="27"/>
      <c r="P28" s="27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3.1" customHeight="1" x14ac:dyDescent="0.25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"/>
      <c r="M29" s="34"/>
      <c r="N29" s="3"/>
      <c r="O29" s="27"/>
      <c r="P29" s="27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3.1" customHeight="1" x14ac:dyDescent="0.25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"/>
      <c r="M30" s="34"/>
      <c r="N30" s="3"/>
      <c r="O30" s="27"/>
      <c r="P30" s="27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3.1" customHeight="1" x14ac:dyDescent="0.25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"/>
      <c r="M31" s="34"/>
      <c r="N31" s="3"/>
      <c r="O31" s="27"/>
      <c r="P31" s="27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3.1" customHeight="1" x14ac:dyDescent="0.25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"/>
      <c r="M32" s="34"/>
      <c r="N32" s="3"/>
      <c r="O32" s="27"/>
      <c r="P32" s="27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3.1" customHeight="1" x14ac:dyDescent="0.25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"/>
      <c r="M33" s="34"/>
      <c r="N33" s="3"/>
      <c r="O33" s="27"/>
      <c r="P33" s="27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3.1" customHeight="1" x14ac:dyDescent="0.25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28" t="str">
        <f t="shared" si="9"/>
        <v/>
      </c>
      <c r="M34" s="33" t="str">
        <f t="shared" si="9"/>
        <v/>
      </c>
      <c r="N34" s="28" t="str">
        <f t="shared" si="9"/>
        <v/>
      </c>
      <c r="O34" s="29" t="str">
        <f t="shared" si="9"/>
        <v/>
      </c>
      <c r="P34" s="29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3.1" customHeight="1" x14ac:dyDescent="0.25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"/>
      <c r="M35" s="34"/>
      <c r="N35" s="3"/>
      <c r="O35" s="27"/>
      <c r="P35" s="27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3.1" customHeight="1" x14ac:dyDescent="0.25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"/>
      <c r="M36" s="34"/>
      <c r="N36" s="3"/>
      <c r="O36" s="27"/>
      <c r="P36" s="27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3.1" customHeight="1" x14ac:dyDescent="0.25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"/>
      <c r="M37" s="34"/>
      <c r="N37" s="3"/>
      <c r="O37" s="27"/>
      <c r="P37" s="27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3.1" customHeight="1" x14ac:dyDescent="0.25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"/>
      <c r="M38" s="34"/>
      <c r="N38" s="3"/>
      <c r="O38" s="27"/>
      <c r="P38" s="27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3.1" customHeight="1" x14ac:dyDescent="0.25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"/>
      <c r="M39" s="34"/>
      <c r="N39" s="3"/>
      <c r="O39" s="27"/>
      <c r="P39" s="27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3.1" customHeight="1" x14ac:dyDescent="0.25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"/>
      <c r="M40" s="34"/>
      <c r="N40" s="3"/>
      <c r="O40" s="27"/>
      <c r="P40" s="27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3.1" customHeight="1" x14ac:dyDescent="0.25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"/>
      <c r="M41" s="34"/>
      <c r="N41" s="3"/>
      <c r="O41" s="27"/>
      <c r="P41" s="27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3.1" customHeight="1" x14ac:dyDescent="0.25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"/>
      <c r="M42" s="34"/>
      <c r="N42" s="3"/>
      <c r="O42" s="27"/>
      <c r="P42" s="27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3.1" customHeight="1" x14ac:dyDescent="0.25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"/>
      <c r="M43" s="34"/>
      <c r="N43" s="3"/>
      <c r="O43" s="27"/>
      <c r="P43" s="27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3.1" customHeight="1" x14ac:dyDescent="0.25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28" t="str">
        <f t="shared" si="12"/>
        <v/>
      </c>
      <c r="M44" s="33" t="str">
        <f t="shared" si="12"/>
        <v/>
      </c>
      <c r="N44" s="28" t="str">
        <f t="shared" si="12"/>
        <v/>
      </c>
      <c r="O44" s="29" t="str">
        <f t="shared" si="12"/>
        <v/>
      </c>
      <c r="P44" s="29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3.1" customHeight="1" x14ac:dyDescent="0.25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"/>
      <c r="M45" s="34"/>
      <c r="N45" s="3"/>
      <c r="O45" s="27"/>
      <c r="P45" s="27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3.1" customHeight="1" x14ac:dyDescent="0.25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"/>
      <c r="M46" s="34"/>
      <c r="N46" s="3"/>
      <c r="O46" s="27"/>
      <c r="P46" s="27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3.1" customHeight="1" x14ac:dyDescent="0.25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"/>
      <c r="M47" s="34"/>
      <c r="N47" s="3"/>
      <c r="O47" s="27"/>
      <c r="P47" s="27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3.1" customHeight="1" x14ac:dyDescent="0.25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"/>
      <c r="M48" s="34"/>
      <c r="N48" s="3"/>
      <c r="O48" s="27"/>
      <c r="P48" s="27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3.1" customHeight="1" x14ac:dyDescent="0.25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"/>
      <c r="M49" s="34"/>
      <c r="N49" s="3"/>
      <c r="O49" s="27"/>
      <c r="P49" s="27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3.1" customHeight="1" x14ac:dyDescent="0.25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"/>
      <c r="M50" s="34"/>
      <c r="N50" s="3"/>
      <c r="O50" s="27"/>
      <c r="P50" s="27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3.1" customHeight="1" x14ac:dyDescent="0.25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"/>
      <c r="M51" s="34"/>
      <c r="N51" s="3"/>
      <c r="O51" s="27"/>
      <c r="P51" s="27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3.1" customHeight="1" x14ac:dyDescent="0.25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"/>
      <c r="M52" s="34"/>
      <c r="N52" s="3"/>
      <c r="O52" s="27"/>
      <c r="P52" s="27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3.1" customHeight="1" x14ac:dyDescent="0.25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"/>
      <c r="M53" s="34"/>
      <c r="N53" s="3"/>
      <c r="O53" s="27"/>
      <c r="P53" s="27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3.1" customHeight="1" x14ac:dyDescent="0.25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28" t="str">
        <f t="shared" si="15"/>
        <v/>
      </c>
      <c r="M54" s="33" t="str">
        <f t="shared" si="15"/>
        <v/>
      </c>
      <c r="N54" s="28" t="str">
        <f t="shared" si="15"/>
        <v/>
      </c>
      <c r="O54" s="29" t="str">
        <f t="shared" si="15"/>
        <v/>
      </c>
      <c r="P54" s="29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3.1" customHeight="1" x14ac:dyDescent="0.25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"/>
      <c r="M55" s="34"/>
      <c r="N55" s="3"/>
      <c r="O55" s="27"/>
      <c r="P55" s="27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3.1" customHeight="1" x14ac:dyDescent="0.25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"/>
      <c r="M56" s="34"/>
      <c r="N56" s="3"/>
      <c r="O56" s="27"/>
      <c r="P56" s="27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3.1" customHeight="1" x14ac:dyDescent="0.25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"/>
      <c r="M57" s="34"/>
      <c r="N57" s="3"/>
      <c r="O57" s="27"/>
      <c r="P57" s="27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3.1" customHeight="1" x14ac:dyDescent="0.25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"/>
      <c r="M58" s="34"/>
      <c r="N58" s="3"/>
      <c r="O58" s="27"/>
      <c r="P58" s="27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3.1" customHeight="1" x14ac:dyDescent="0.25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"/>
      <c r="M59" s="34"/>
      <c r="N59" s="3"/>
      <c r="O59" s="27"/>
      <c r="P59" s="27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3.1" customHeight="1" x14ac:dyDescent="0.25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"/>
      <c r="M60" s="34"/>
      <c r="N60" s="3"/>
      <c r="O60" s="27"/>
      <c r="P60" s="27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3.1" customHeight="1" x14ac:dyDescent="0.25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"/>
      <c r="M61" s="34"/>
      <c r="N61" s="3"/>
      <c r="O61" s="27"/>
      <c r="P61" s="27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3.1" customHeight="1" x14ac:dyDescent="0.25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"/>
      <c r="M62" s="34"/>
      <c r="N62" s="3"/>
      <c r="O62" s="27"/>
      <c r="P62" s="27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3.1" customHeight="1" x14ac:dyDescent="0.25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"/>
      <c r="M63" s="34"/>
      <c r="N63" s="3"/>
      <c r="O63" s="27"/>
      <c r="P63" s="27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3.1" customHeight="1" x14ac:dyDescent="0.25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28" t="str">
        <f t="shared" si="18"/>
        <v/>
      </c>
      <c r="M64" s="33" t="str">
        <f t="shared" si="18"/>
        <v/>
      </c>
      <c r="N64" s="28" t="str">
        <f t="shared" si="18"/>
        <v/>
      </c>
      <c r="O64" s="29" t="str">
        <f t="shared" si="18"/>
        <v/>
      </c>
      <c r="P64" s="29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3.1" customHeight="1" x14ac:dyDescent="0.25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"/>
      <c r="M65" s="34"/>
      <c r="N65" s="3"/>
      <c r="O65" s="27"/>
      <c r="P65" s="27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3.1" customHeight="1" x14ac:dyDescent="0.25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"/>
      <c r="M66" s="34"/>
      <c r="N66" s="3"/>
      <c r="O66" s="27"/>
      <c r="P66" s="27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3.1" customHeight="1" x14ac:dyDescent="0.25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"/>
      <c r="M67" s="34"/>
      <c r="N67" s="3"/>
      <c r="O67" s="27"/>
      <c r="P67" s="27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3.1" customHeight="1" x14ac:dyDescent="0.25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"/>
      <c r="M68" s="34"/>
      <c r="N68" s="3"/>
      <c r="O68" s="27"/>
      <c r="P68" s="27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3.1" customHeight="1" x14ac:dyDescent="0.25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"/>
      <c r="M69" s="34"/>
      <c r="N69" s="3"/>
      <c r="O69" s="27"/>
      <c r="P69" s="27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3.1" customHeight="1" x14ac:dyDescent="0.25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"/>
      <c r="M70" s="34"/>
      <c r="N70" s="3"/>
      <c r="O70" s="27"/>
      <c r="P70" s="27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3.1" customHeight="1" x14ac:dyDescent="0.25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"/>
      <c r="M71" s="34"/>
      <c r="N71" s="3"/>
      <c r="O71" s="27"/>
      <c r="P71" s="27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3.1" customHeight="1" x14ac:dyDescent="0.25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"/>
      <c r="M72" s="34"/>
      <c r="N72" s="3"/>
      <c r="O72" s="27"/>
      <c r="P72" s="27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3.1" customHeight="1" x14ac:dyDescent="0.25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"/>
      <c r="M73" s="34"/>
      <c r="N73" s="3"/>
      <c r="O73" s="27"/>
      <c r="P73" s="27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3.1" customHeight="1" x14ac:dyDescent="0.25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28" t="str">
        <f t="shared" si="21"/>
        <v/>
      </c>
      <c r="M74" s="33" t="str">
        <f t="shared" si="21"/>
        <v/>
      </c>
      <c r="N74" s="28" t="str">
        <f t="shared" si="21"/>
        <v/>
      </c>
      <c r="O74" s="29" t="str">
        <f t="shared" si="21"/>
        <v/>
      </c>
      <c r="P74" s="29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3.1" customHeight="1" x14ac:dyDescent="0.25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"/>
      <c r="M75" s="34"/>
      <c r="N75" s="3"/>
      <c r="O75" s="27"/>
      <c r="P75" s="27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3.1" customHeight="1" x14ac:dyDescent="0.25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"/>
      <c r="M76" s="34"/>
      <c r="N76" s="3"/>
      <c r="O76" s="27"/>
      <c r="P76" s="27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3.1" customHeight="1" x14ac:dyDescent="0.25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"/>
      <c r="M77" s="34"/>
      <c r="N77" s="3"/>
      <c r="O77" s="27"/>
      <c r="P77" s="27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3.1" customHeight="1" x14ac:dyDescent="0.25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"/>
      <c r="M78" s="34"/>
      <c r="N78" s="3"/>
      <c r="O78" s="27"/>
      <c r="P78" s="27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3.1" customHeight="1" x14ac:dyDescent="0.25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"/>
      <c r="M79" s="34"/>
      <c r="N79" s="3"/>
      <c r="O79" s="27"/>
      <c r="P79" s="27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3.1" customHeight="1" x14ac:dyDescent="0.25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"/>
      <c r="M80" s="34"/>
      <c r="N80" s="3"/>
      <c r="O80" s="27"/>
      <c r="P80" s="27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3.1" customHeight="1" x14ac:dyDescent="0.25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"/>
      <c r="M81" s="34"/>
      <c r="N81" s="3"/>
      <c r="O81" s="27"/>
      <c r="P81" s="27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3.1" customHeight="1" x14ac:dyDescent="0.25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"/>
      <c r="M82" s="34"/>
      <c r="N82" s="3"/>
      <c r="O82" s="27"/>
      <c r="P82" s="27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3.1" customHeight="1" x14ac:dyDescent="0.25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"/>
      <c r="M83" s="34"/>
      <c r="N83" s="3"/>
      <c r="O83" s="27"/>
      <c r="P83" s="27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3.1" customHeight="1" x14ac:dyDescent="0.25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28" t="str">
        <f t="shared" si="24"/>
        <v/>
      </c>
      <c r="M84" s="33" t="str">
        <f t="shared" si="24"/>
        <v/>
      </c>
      <c r="N84" s="28" t="str">
        <f t="shared" si="24"/>
        <v/>
      </c>
      <c r="O84" s="29" t="str">
        <f t="shared" si="24"/>
        <v/>
      </c>
      <c r="P84" s="29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3.1" customHeight="1" x14ac:dyDescent="0.25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"/>
      <c r="M85" s="34"/>
      <c r="N85" s="3"/>
      <c r="O85" s="27"/>
      <c r="P85" s="27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3.1" customHeight="1" x14ac:dyDescent="0.25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"/>
      <c r="M86" s="34"/>
      <c r="N86" s="3"/>
      <c r="O86" s="27"/>
      <c r="P86" s="27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3.1" customHeight="1" x14ac:dyDescent="0.25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"/>
      <c r="M87" s="34"/>
      <c r="N87" s="3"/>
      <c r="O87" s="27"/>
      <c r="P87" s="27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3.1" customHeight="1" x14ac:dyDescent="0.25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"/>
      <c r="M88" s="34"/>
      <c r="N88" s="3"/>
      <c r="O88" s="27"/>
      <c r="P88" s="27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3.1" customHeight="1" x14ac:dyDescent="0.25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"/>
      <c r="M89" s="34"/>
      <c r="N89" s="3"/>
      <c r="O89" s="27"/>
      <c r="P89" s="27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3.1" customHeight="1" x14ac:dyDescent="0.25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"/>
      <c r="M90" s="34"/>
      <c r="N90" s="3"/>
      <c r="O90" s="27"/>
      <c r="P90" s="27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3.1" customHeight="1" x14ac:dyDescent="0.25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"/>
      <c r="M91" s="34"/>
      <c r="N91" s="3"/>
      <c r="O91" s="27"/>
      <c r="P91" s="27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3.1" customHeight="1" x14ac:dyDescent="0.25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"/>
      <c r="M92" s="34"/>
      <c r="N92" s="3"/>
      <c r="O92" s="27"/>
      <c r="P92" s="27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3.1" customHeight="1" x14ac:dyDescent="0.25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"/>
      <c r="M93" s="34"/>
      <c r="N93" s="3"/>
      <c r="O93" s="27"/>
      <c r="P93" s="27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3.1" customHeight="1" x14ac:dyDescent="0.25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28" t="str">
        <f t="shared" si="27"/>
        <v/>
      </c>
      <c r="M94" s="33" t="str">
        <f t="shared" si="27"/>
        <v/>
      </c>
      <c r="N94" s="28" t="str">
        <f t="shared" si="27"/>
        <v/>
      </c>
      <c r="O94" s="29" t="str">
        <f t="shared" si="27"/>
        <v/>
      </c>
      <c r="P94" s="29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3.1" customHeight="1" x14ac:dyDescent="0.25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"/>
      <c r="M95" s="34"/>
      <c r="N95" s="3"/>
      <c r="O95" s="27"/>
      <c r="P95" s="27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3.1" customHeight="1" x14ac:dyDescent="0.25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"/>
      <c r="M96" s="34"/>
      <c r="N96" s="3"/>
      <c r="O96" s="27"/>
      <c r="P96" s="27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3.1" customHeight="1" x14ac:dyDescent="0.25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"/>
      <c r="M97" s="34"/>
      <c r="N97" s="3"/>
      <c r="O97" s="27"/>
      <c r="P97" s="27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3.1" customHeight="1" x14ac:dyDescent="0.25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"/>
      <c r="M98" s="34"/>
      <c r="N98" s="3"/>
      <c r="O98" s="27"/>
      <c r="P98" s="27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3.1" customHeight="1" x14ac:dyDescent="0.25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"/>
      <c r="M99" s="34"/>
      <c r="N99" s="3"/>
      <c r="O99" s="27"/>
      <c r="P99" s="27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3.1" customHeight="1" x14ac:dyDescent="0.25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"/>
      <c r="M100" s="34"/>
      <c r="N100" s="3"/>
      <c r="O100" s="27"/>
      <c r="P100" s="27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3.1" customHeight="1" x14ac:dyDescent="0.25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"/>
      <c r="M101" s="34"/>
      <c r="N101" s="3"/>
      <c r="O101" s="27"/>
      <c r="P101" s="27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3.1" customHeight="1" x14ac:dyDescent="0.25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"/>
      <c r="M102" s="34"/>
      <c r="N102" s="3"/>
      <c r="O102" s="27"/>
      <c r="P102" s="27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3.1" customHeight="1" x14ac:dyDescent="0.25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"/>
      <c r="M103" s="34"/>
      <c r="N103" s="3"/>
      <c r="O103" s="27"/>
      <c r="P103" s="27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3.1" customHeight="1" x14ac:dyDescent="0.25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28" t="str">
        <f t="shared" si="30"/>
        <v/>
      </c>
      <c r="M104" s="33" t="str">
        <f t="shared" si="30"/>
        <v/>
      </c>
      <c r="N104" s="28" t="str">
        <f t="shared" si="30"/>
        <v/>
      </c>
      <c r="O104" s="29" t="str">
        <f t="shared" si="30"/>
        <v/>
      </c>
      <c r="P104" s="29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3.1" customHeight="1" x14ac:dyDescent="0.25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"/>
      <c r="M105" s="34"/>
      <c r="N105" s="3"/>
      <c r="O105" s="27"/>
      <c r="P105" s="27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3.1" customHeight="1" x14ac:dyDescent="0.25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"/>
      <c r="M106" s="34"/>
      <c r="N106" s="3"/>
      <c r="O106" s="27"/>
      <c r="P106" s="27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3.1" customHeight="1" x14ac:dyDescent="0.25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"/>
      <c r="M107" s="34"/>
      <c r="N107" s="3"/>
      <c r="O107" s="27"/>
      <c r="P107" s="27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3.1" customHeight="1" x14ac:dyDescent="0.25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"/>
      <c r="M108" s="34"/>
      <c r="N108" s="3"/>
      <c r="O108" s="27"/>
      <c r="P108" s="27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3.1" customHeight="1" x14ac:dyDescent="0.25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"/>
      <c r="M109" s="34"/>
      <c r="N109" s="3"/>
      <c r="O109" s="27"/>
      <c r="P109" s="27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3.1" customHeight="1" x14ac:dyDescent="0.25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"/>
      <c r="M110" s="34"/>
      <c r="N110" s="3"/>
      <c r="O110" s="27"/>
      <c r="P110" s="27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3.1" customHeight="1" x14ac:dyDescent="0.25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"/>
      <c r="M111" s="34"/>
      <c r="N111" s="3"/>
      <c r="O111" s="27"/>
      <c r="P111" s="27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3.1" customHeight="1" x14ac:dyDescent="0.25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"/>
      <c r="M112" s="34"/>
      <c r="N112" s="3"/>
      <c r="O112" s="27"/>
      <c r="P112" s="27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3.1" customHeight="1" x14ac:dyDescent="0.25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"/>
      <c r="M113" s="34"/>
      <c r="N113" s="3"/>
      <c r="O113" s="27"/>
      <c r="P113" s="27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3.1" customHeight="1" x14ac:dyDescent="0.25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28" t="str">
        <f t="shared" si="33"/>
        <v/>
      </c>
      <c r="M114" s="33" t="str">
        <f t="shared" si="33"/>
        <v/>
      </c>
      <c r="N114" s="28" t="str">
        <f t="shared" si="33"/>
        <v/>
      </c>
      <c r="O114" s="29" t="str">
        <f t="shared" si="33"/>
        <v/>
      </c>
      <c r="P114" s="29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3.1" customHeight="1" x14ac:dyDescent="0.25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"/>
      <c r="M115" s="34"/>
      <c r="N115" s="3"/>
      <c r="O115" s="27"/>
      <c r="P115" s="27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3.1" customHeight="1" x14ac:dyDescent="0.25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"/>
      <c r="M116" s="34"/>
      <c r="N116" s="3"/>
      <c r="O116" s="27"/>
      <c r="P116" s="27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3.1" customHeight="1" x14ac:dyDescent="0.25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"/>
      <c r="M117" s="34"/>
      <c r="N117" s="3"/>
      <c r="O117" s="27"/>
      <c r="P117" s="27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3.1" customHeight="1" x14ac:dyDescent="0.25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"/>
      <c r="M118" s="34"/>
      <c r="N118" s="3"/>
      <c r="O118" s="27"/>
      <c r="P118" s="27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3.1" customHeight="1" x14ac:dyDescent="0.25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"/>
      <c r="M119" s="34"/>
      <c r="N119" s="3"/>
      <c r="O119" s="27"/>
      <c r="P119" s="27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3.1" customHeight="1" x14ac:dyDescent="0.25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"/>
      <c r="M120" s="34"/>
      <c r="N120" s="3"/>
      <c r="O120" s="27"/>
      <c r="P120" s="27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3.1" customHeight="1" x14ac:dyDescent="0.25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"/>
      <c r="M121" s="34"/>
      <c r="N121" s="3"/>
      <c r="O121" s="27"/>
      <c r="P121" s="27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3.1" customHeight="1" x14ac:dyDescent="0.25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"/>
      <c r="M122" s="34"/>
      <c r="N122" s="3"/>
      <c r="O122" s="27"/>
      <c r="P122" s="27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3.1" customHeight="1" x14ac:dyDescent="0.25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"/>
      <c r="M123" s="34"/>
      <c r="N123" s="3"/>
      <c r="O123" s="27"/>
      <c r="P123" s="27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3.1" customHeight="1" x14ac:dyDescent="0.25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28" t="str">
        <f t="shared" si="36"/>
        <v/>
      </c>
      <c r="M124" s="33" t="str">
        <f t="shared" si="36"/>
        <v/>
      </c>
      <c r="N124" s="28" t="str">
        <f t="shared" si="36"/>
        <v/>
      </c>
      <c r="O124" s="29" t="str">
        <f t="shared" si="36"/>
        <v/>
      </c>
      <c r="P124" s="29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3.1" customHeight="1" x14ac:dyDescent="0.25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"/>
      <c r="M125" s="34"/>
      <c r="N125" s="3"/>
      <c r="O125" s="27"/>
      <c r="P125" s="27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25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25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25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25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25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25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25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25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25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25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25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25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25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25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25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25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25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25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25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25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25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25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25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25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25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25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25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25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25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25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25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25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25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25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25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25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25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25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25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25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25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25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25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25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25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25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25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25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25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25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25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25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25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25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25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25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25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25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25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25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25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25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25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25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25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25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25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25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25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25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25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25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25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25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25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25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25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25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25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25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25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25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25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25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25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25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25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25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25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25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25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25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25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25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25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25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25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25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25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25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25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25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25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25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25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25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25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25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25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25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25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25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25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25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25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25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25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25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25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25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25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25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25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25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25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25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25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25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25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25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25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25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25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25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25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25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25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25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25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25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25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25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25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25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25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25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25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25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25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25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25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25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25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25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25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25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25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25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25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25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25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25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25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25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25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25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25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25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25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25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25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25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25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25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25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25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25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25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25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25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25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25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25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25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25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25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25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25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25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25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25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25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25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25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25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25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25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25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25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25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25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25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25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25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25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25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25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25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25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25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25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25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25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25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25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25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25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25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25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25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25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25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25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25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25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25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25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25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25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25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25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25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25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25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25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25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25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25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25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25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25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25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25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25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25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25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25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25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25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25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25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25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25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25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25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25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25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25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25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25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25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25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25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25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25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25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25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25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25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25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25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25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25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25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25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25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25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25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25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25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25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25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25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25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25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25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25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25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25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25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25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25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25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25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25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25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25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25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25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25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25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25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25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25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25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25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25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25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25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25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25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25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25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25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25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25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25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25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25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25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25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25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25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25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25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25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25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25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25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25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25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25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25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25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25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25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25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25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25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25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25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25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25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25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25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25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25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25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25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25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25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25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25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25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25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25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25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25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25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25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25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25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25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25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25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25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25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25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25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25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25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25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25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25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25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25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25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25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25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25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25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25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25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25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25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25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25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25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25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25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25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25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25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25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25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25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25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25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25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25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25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25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25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25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25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25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25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25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25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25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25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25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25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25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25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25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25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25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25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25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25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25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25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25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25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25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25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25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25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25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25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25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25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25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25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25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25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25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25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25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25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25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25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25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25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25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25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25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25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25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25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25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25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25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25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25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25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25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25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25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25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25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25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25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25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25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25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25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25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25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25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25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25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25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25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25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25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25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25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25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25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25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25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25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25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25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25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25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25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25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25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25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25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25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25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25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25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25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25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25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25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25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25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25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25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25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25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25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25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25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25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25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25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25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25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25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25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25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25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25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25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25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25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25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25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25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25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25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25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25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25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25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25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25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25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25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25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25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25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25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25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25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25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25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25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25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25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25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25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25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25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25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25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25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25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25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25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25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25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25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25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25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25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25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25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25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25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25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25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25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25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25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25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25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25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25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25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25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25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25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25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25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25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25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25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25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25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25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25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25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25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25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25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25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25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25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25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25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25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25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25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25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25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25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25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25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25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25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25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25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25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25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25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25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25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25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25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25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25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25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25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25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25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25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25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25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25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25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25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25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25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25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25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25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25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25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25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25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25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25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25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25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25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25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25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25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25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25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25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25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25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25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25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25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25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25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25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25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25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25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25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25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25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25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25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25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25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25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25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25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25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25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25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25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25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25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25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25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25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25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25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25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25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25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25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25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25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25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25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25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25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25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25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25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25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25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25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25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25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25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25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25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25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25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25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25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25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25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25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25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25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25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25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25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25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25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25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25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25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25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25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25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25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25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25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25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25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25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25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25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25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25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25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25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25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25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25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25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25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25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25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25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25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25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25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25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25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25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25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25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25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25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25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25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25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25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25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25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25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25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25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25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25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25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25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25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25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25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25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25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25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25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25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25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25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25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25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25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25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25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25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25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25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25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25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25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25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25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25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25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25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25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25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25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25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25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25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25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25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25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25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25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25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25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25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25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25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25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25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25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25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25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25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25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25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25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25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25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25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25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25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25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25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25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25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25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25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25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25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25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25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25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25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25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25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25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25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25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25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25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25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25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25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25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25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25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25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25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25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25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25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25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25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25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25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25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25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25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25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25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25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25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25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25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25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25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25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25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25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25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25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25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25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25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25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25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25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25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25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25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25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25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25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25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25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25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25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25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25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25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25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25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25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25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25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25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25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25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25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25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25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25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25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25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25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25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25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25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25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25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25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25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25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25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25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25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25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25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25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25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25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25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25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25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25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25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25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25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25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25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25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25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25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25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25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25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25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25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25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25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25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25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25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25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25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25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25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25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25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25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25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25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25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25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25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25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25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25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25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25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25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25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25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25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25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25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25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25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25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25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25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25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25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25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25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25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25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25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25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25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25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25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25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25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25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25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25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25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25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25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25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25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25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25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25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25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25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25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25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25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25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25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25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25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25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25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25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25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25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25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25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25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25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25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25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25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25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25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25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25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25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25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25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25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25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25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25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25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25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25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25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25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25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25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25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25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25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25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25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25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25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25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25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25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25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25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25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25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25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25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25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25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25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25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25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25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25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25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25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25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25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25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25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25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25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25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25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25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25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25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25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25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25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25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25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25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25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25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25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25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25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25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25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25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25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25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25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25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25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25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25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25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25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25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25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25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25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25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25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25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25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25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25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25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25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25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25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25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25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25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25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25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25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25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25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25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25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25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25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25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25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25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25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25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25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25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25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25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25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25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25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25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25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25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25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25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25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25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25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25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25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25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25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25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25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25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25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25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25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25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25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25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25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25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25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25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25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25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25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25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25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25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25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25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25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25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25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25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25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25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25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25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25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25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25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25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25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25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25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25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25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25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25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25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25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25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25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25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25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25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25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25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25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25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25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25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25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25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25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25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25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25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25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25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25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25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25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25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25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25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25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25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25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25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25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25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25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25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25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25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25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25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25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25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25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25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25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25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25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25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25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25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25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25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25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25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25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25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25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25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25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25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25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25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25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25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25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25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25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25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25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25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25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25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25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25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25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25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25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25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25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25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25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25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25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25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25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25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25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25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25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25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25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25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25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25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25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25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25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25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25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25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25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25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25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25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25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25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25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25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25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25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25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25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25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25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25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25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25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25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25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25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25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25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25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25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25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25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25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25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25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25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25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25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25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25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25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25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25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25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25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25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25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25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25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25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25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25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25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25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25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25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25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25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25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25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25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25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25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25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25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25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25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25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25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25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25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25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25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25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25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25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25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25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25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25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25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25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25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25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25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25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25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25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25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25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25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25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25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25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25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25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25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25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25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25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25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25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25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25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25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25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25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25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25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25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25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25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25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25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25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25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25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25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25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25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25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25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25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25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25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25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25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25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25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25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25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25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25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25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25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25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25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25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25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25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25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25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25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25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25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25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25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25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25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25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25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25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25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25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25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25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25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25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25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25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25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25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25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25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25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25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25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25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25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25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25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25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25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25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25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25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25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25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25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25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25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25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25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25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25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25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25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25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25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25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25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25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25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25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25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25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25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25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25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25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25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25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25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25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25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25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25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25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25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25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25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25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25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25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25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25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25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25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25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25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25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25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25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25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25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25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25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25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25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25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25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25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25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25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25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25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25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25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25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25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25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25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25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25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25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25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25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25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25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25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25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25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25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25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25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25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25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25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25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25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25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25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25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25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25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25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25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25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25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25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25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25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25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25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25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25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25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25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25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25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25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25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25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25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25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25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25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25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25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25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25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25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25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25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25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25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25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25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25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25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25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25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25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25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25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25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25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25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25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25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25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25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25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25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25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25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25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25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25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25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25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25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25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25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25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25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25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25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25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25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25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25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25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25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25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25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25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25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25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25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25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25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25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25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25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25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25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25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1" r:id="rId4" name="ComboBox2">
          <controlPr defaultSize="0" autoLine="0" r:id="rId5">
            <anchor moveWithCells="1">
              <from>
                <xdr:col>1</xdr:col>
                <xdr:colOff>295275</xdr:colOff>
                <xdr:row>0</xdr:row>
                <xdr:rowOff>28575</xdr:rowOff>
              </from>
              <to>
                <xdr:col>2</xdr:col>
                <xdr:colOff>695325</xdr:colOff>
                <xdr:row>0</xdr:row>
                <xdr:rowOff>266700</xdr:rowOff>
              </to>
            </anchor>
          </controlPr>
        </control>
      </mc:Choice>
      <mc:Fallback>
        <control shapeId="1241" r:id="rId4" name="ComboBox2"/>
      </mc:Fallback>
    </mc:AlternateContent>
    <mc:AlternateContent xmlns:mc="http://schemas.openxmlformats.org/markup-compatibility/2006">
      <mc:Choice Requires="x14">
        <control shapeId="1240" r:id="rId6" name="ComboBox1">
          <controlPr defaultSize="0" autoLine="0" r:id="rId7">
            <anchor moveWithCells="1">
              <from>
                <xdr:col>1</xdr:col>
                <xdr:colOff>285750</xdr:colOff>
                <xdr:row>0</xdr:row>
                <xdr:rowOff>285750</xdr:rowOff>
              </from>
              <to>
                <xdr:col>2</xdr:col>
                <xdr:colOff>685800</xdr:colOff>
                <xdr:row>0</xdr:row>
                <xdr:rowOff>523875</xdr:rowOff>
              </to>
            </anchor>
          </controlPr>
        </control>
      </mc:Choice>
      <mc:Fallback>
        <control shapeId="1240" r:id="rId6" name="ComboBox1"/>
      </mc:Fallback>
    </mc:AlternateContent>
    <mc:AlternateContent xmlns:mc="http://schemas.openxmlformats.org/markup-compatibility/2006">
      <mc:Choice Requires="x14">
        <control shapeId="2826" r:id="rId8" name="ComboBox3">
          <controlPr defaultSize="0" autoLine="0" r:id="rId9">
            <anchor moveWithCells="1">
              <from>
                <xdr:col>11</xdr:col>
                <xdr:colOff>47625</xdr:colOff>
                <xdr:row>0</xdr:row>
                <xdr:rowOff>171450</xdr:rowOff>
              </from>
              <to>
                <xdr:col>13</xdr:col>
                <xdr:colOff>171450</xdr:colOff>
                <xdr:row>0</xdr:row>
                <xdr:rowOff>400050</xdr:rowOff>
              </to>
            </anchor>
          </controlPr>
        </control>
      </mc:Choice>
      <mc:Fallback>
        <control shapeId="2826" r:id="rId8" name="ComboBox3"/>
      </mc:Fallback>
    </mc:AlternateContent>
    <mc:AlternateContent xmlns:mc="http://schemas.openxmlformats.org/markup-compatibility/2006">
      <mc:Choice Requires="x14">
        <control shapeId="4214" r:id="rId10" name="CommandButton1">
          <controlPr defaultSize="0" autoLine="0" autoPict="0" r:id="rId11">
            <anchor moveWithCells="1">
              <from>
                <xdr:col>1</xdr:col>
                <xdr:colOff>57150</xdr:colOff>
                <xdr:row>1</xdr:row>
                <xdr:rowOff>142875</xdr:rowOff>
              </from>
              <to>
                <xdr:col>2</xdr:col>
                <xdr:colOff>895350</xdr:colOff>
                <xdr:row>2</xdr:row>
                <xdr:rowOff>219075</xdr:rowOff>
              </to>
            </anchor>
          </controlPr>
        </control>
      </mc:Choice>
      <mc:Fallback>
        <control shapeId="4214" r:id="rId10" name="CommandButton1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695325</xdr:colOff>
                <xdr:row>0</xdr:row>
                <xdr:rowOff>295275</xdr:rowOff>
              </from>
              <to>
                <xdr:col>2</xdr:col>
                <xdr:colOff>876300</xdr:colOff>
                <xdr:row>0</xdr:row>
                <xdr:rowOff>485775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57150</xdr:colOff>
                <xdr:row>0</xdr:row>
                <xdr:rowOff>304800</xdr:rowOff>
              </from>
              <to>
                <xdr:col>1</xdr:col>
                <xdr:colOff>238125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Walczak Mathieu</cp:lastModifiedBy>
  <cp:lastPrinted>2020-12-09T12:47:45Z</cp:lastPrinted>
  <dcterms:created xsi:type="dcterms:W3CDTF">2015-05-13T13:15:15Z</dcterms:created>
  <dcterms:modified xsi:type="dcterms:W3CDTF">2020-12-10T10:26:03Z</dcterms:modified>
</cp:coreProperties>
</file>