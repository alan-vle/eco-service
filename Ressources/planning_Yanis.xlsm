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685FEC8A-85DE-4857-9700-82C3C13E29AF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7" l="1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2" i="7"/>
  <c r="H7" i="7"/>
  <c r="F10" i="7"/>
  <c r="F3" i="7"/>
  <c r="H8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Yanis Guezouli</author>
  </authors>
  <commentList>
    <comment ref="AB3" authorId="0" shapeId="0" xr:uid="{A3B10FE8-127C-4D71-977B-3C37CA593D8E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A26D2858-4B8F-47BF-806C-15F8FB6734DD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<sst xmlns="http://schemas.openxmlformats.org/spreadsheetml/2006/main" count="25" uniqueCount="18">
  <si>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</si>
  <si>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</si>
  <si>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</si>
  <si>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</si>
  <si>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</si>
  <si>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</si>
  <si>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</si>
  <si>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</si>
  <si>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</si>
  <si>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</si>
  <si>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</si>
  <si>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</si>
  <si>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</si>
  <si>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Page Articles</t>
  </si>
  <si>
    <t xml:space="preserve">Yanis </t>
  </si>
  <si>
    <t>Ajout navbar + sidebar</t>
  </si>
  <si>
    <t>Ajout carousel article</t>
  </si>
  <si>
    <t>Mise en page des articles et catégories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</si>
</sst>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9" name="_4|1|44174|44176">
          <a:extLst>
            <a:ext uri="{FF2B5EF4-FFF2-40B4-BE49-F238E27FC236}">
              <a16:creationId xmlns:a16="http://schemas.microsoft.com/office/drawing/2014/main" id="{15875AAF-B09F-41BF-8CF9-5F25DF1E7B50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Yanis 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11</xdr:col>
      <xdr:colOff>180340</xdr:colOff>
      <xdr:row>3</xdr:row>
      <xdr:rowOff>251460</xdr:rowOff>
    </xdr:to>
    <xdr:sp macro="Fiche" textlink="">
      <xdr:nvSpPr>
        <xdr:cNvPr id="10" name="__Page Articles">
          <a:extLst>
            <a:ext uri="{FF2B5EF4-FFF2-40B4-BE49-F238E27FC236}">
              <a16:creationId xmlns:a16="http://schemas.microsoft.com/office/drawing/2014/main" id="{E41F61A0-E171-4B88-B9CF-ED3AC1A16A93}"/>
            </a:ext>
          </a:extLst>
        </xdr:cNvPr>
        <xdr:cNvSpPr/>
      </xdr:nvSpPr>
      <xdr:spPr>
        <a:xfrm>
          <a:off x="3685540" y="140208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11</xdr:col>
      <xdr:colOff>180340</xdr:colOff>
      <xdr:row>4</xdr:row>
      <xdr:rowOff>264160</xdr:rowOff>
    </xdr:to>
    <xdr:sp macro="Fiche" textlink="">
      <xdr:nvSpPr>
        <xdr:cNvPr id="11" name="_5|2|44174|44174">
          <a:extLst>
            <a:ext uri="{FF2B5EF4-FFF2-40B4-BE49-F238E27FC236}">
              <a16:creationId xmlns:a16="http://schemas.microsoft.com/office/drawing/2014/main" id="{D26EF93A-789D-4EE1-BC5B-8065274CCB5D}"/>
            </a:ext>
          </a:extLst>
        </xdr:cNvPr>
        <xdr:cNvSpPr/>
      </xdr:nvSpPr>
      <xdr:spPr>
        <a:xfrm>
          <a:off x="3660140" y="1503680"/>
          <a:ext cx="15494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Yanis 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11</xdr:col>
      <xdr:colOff>180340</xdr:colOff>
      <xdr:row>4</xdr:row>
      <xdr:rowOff>251460</xdr:rowOff>
    </xdr:to>
    <xdr:sp macro="Fiche" textlink="">
      <xdr:nvSpPr>
        <xdr:cNvPr id="12" name="__Ajout navbar + sidebar">
          <a:extLst>
            <a:ext uri="{FF2B5EF4-FFF2-40B4-BE49-F238E27FC236}">
              <a16:creationId xmlns:a16="http://schemas.microsoft.com/office/drawing/2014/main" id="{DD5C78F4-ABD3-4F3C-94C2-E8032D23585A}"/>
            </a:ext>
          </a:extLst>
        </xdr:cNvPr>
        <xdr:cNvSpPr/>
      </xdr:nvSpPr>
      <xdr:spPr>
        <a:xfrm>
          <a:off x="3685540" y="169164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12</xdr:col>
      <xdr:colOff>180340</xdr:colOff>
      <xdr:row>5</xdr:row>
      <xdr:rowOff>264160</xdr:rowOff>
    </xdr:to>
    <xdr:sp macro="Fiche" textlink="">
      <xdr:nvSpPr>
        <xdr:cNvPr id="13" name="_6|3|44175|44175">
          <a:extLst>
            <a:ext uri="{FF2B5EF4-FFF2-40B4-BE49-F238E27FC236}">
              <a16:creationId xmlns:a16="http://schemas.microsoft.com/office/drawing/2014/main" id="{E3E8FC5B-9623-45CF-9E4C-84B4BC47D14B}"/>
            </a:ext>
          </a:extLst>
        </xdr:cNvPr>
        <xdr:cNvSpPr/>
      </xdr:nvSpPr>
      <xdr:spPr>
        <a:xfrm>
          <a:off x="3865880" y="1793240"/>
          <a:ext cx="1549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  <xdr:twoCellAnchor>
    <xdr:from>
      <xdr:col>12</xdr:col>
      <xdr:colOff>50800</xdr:colOff>
      <xdr:row>5</xdr:row>
      <xdr:rowOff>213360</xdr:rowOff>
    </xdr:from>
    <xdr:to>
      <xdr:col>12</xdr:col>
      <xdr:colOff>180340</xdr:colOff>
      <xdr:row>5</xdr:row>
      <xdr:rowOff>251460</xdr:rowOff>
    </xdr:to>
    <xdr:sp macro="Fiche" textlink="">
      <xdr:nvSpPr>
        <xdr:cNvPr id="14" name="__Ajout carousel article">
          <a:extLst>
            <a:ext uri="{FF2B5EF4-FFF2-40B4-BE49-F238E27FC236}">
              <a16:creationId xmlns:a16="http://schemas.microsoft.com/office/drawing/2014/main" id="{9DABA4BB-0D85-449C-95EE-3E44F5C8E195}"/>
            </a:ext>
          </a:extLst>
        </xdr:cNvPr>
        <xdr:cNvSpPr/>
      </xdr:nvSpPr>
      <xdr:spPr>
        <a:xfrm>
          <a:off x="3891280" y="19812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14</xdr:col>
      <xdr:colOff>180340</xdr:colOff>
      <xdr:row>6</xdr:row>
      <xdr:rowOff>264160</xdr:rowOff>
    </xdr:to>
    <xdr:sp macro="Fiche" textlink="">
      <xdr:nvSpPr>
        <xdr:cNvPr id="15" name="_7|3|44177|44177">
          <a:extLst>
            <a:ext uri="{FF2B5EF4-FFF2-40B4-BE49-F238E27FC236}">
              <a16:creationId xmlns:a16="http://schemas.microsoft.com/office/drawing/2014/main" id="{07D8621C-AF0B-4D69-8055-C5DFA028AABF}"/>
            </a:ext>
          </a:extLst>
        </xdr:cNvPr>
        <xdr:cNvSpPr/>
      </xdr:nvSpPr>
      <xdr:spPr>
        <a:xfrm>
          <a:off x="4277360" y="2082800"/>
          <a:ext cx="15494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B6" sqref="B6"/>
    </sheetView>
  </sheetViews>
  <sheetFormatPr baseColWidth="10" defaultRowHeight="14.4" x14ac:dyDescent="0.3"/>
  <cols>
    <col min="1" max="1" width="6.5546875" customWidth="1"/>
    <col min="2" max="2" width="32.6640625" style="10" bestFit="1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13</v>
      </c>
      <c r="C2" s="37" t="s">
        <v>14</v>
      </c>
      <c r="D2" s="38">
        <v>44174</v>
      </c>
      <c r="E2" s="35">
        <v>3</v>
      </c>
      <c r="F2" s="39">
        <f t="shared" ref="F2:F8" si="0">WORKDAY(D2,E2-1,tferies(YEAR(D2)))</f>
        <v>44176</v>
      </c>
      <c r="G2" s="40">
        <v>0.5</v>
      </c>
      <c r="H2" s="47">
        <f t="shared" ref="H2:H9" si="1">IF(G2&gt;0,WORKDAY(D2,(E2*G2)-1,tferies(YEAR(D2))),"")</f>
        <v>44174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15</v>
      </c>
      <c r="C3" s="37" t="s">
        <v>14</v>
      </c>
      <c r="D3" s="38">
        <v>44174</v>
      </c>
      <c r="E3" s="35">
        <v>1</v>
      </c>
      <c r="F3" s="39">
        <f t="shared" si="0"/>
        <v>44174</v>
      </c>
      <c r="G3" s="40">
        <v>1</v>
      </c>
      <c r="H3" s="47">
        <f t="shared" si="1"/>
        <v>44174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 t="s">
        <v>14</v>
      </c>
      <c r="D4" s="38">
        <v>44175</v>
      </c>
      <c r="E4" s="35">
        <v>1</v>
      </c>
      <c r="F4" s="39">
        <f t="shared" si="0"/>
        <v>44175</v>
      </c>
      <c r="G4" s="40">
        <v>1</v>
      </c>
      <c r="H4" s="47">
        <f t="shared" si="1"/>
        <v>44175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 t="s">
        <v>14</v>
      </c>
      <c r="D5" s="38">
        <v>44177</v>
      </c>
      <c r="E5" s="35">
        <v>1</v>
      </c>
      <c r="F5" s="39">
        <f t="shared" si="0"/>
        <v>44177</v>
      </c>
      <c r="G5" s="40">
        <v>0.8</v>
      </c>
      <c r="H5" s="47">
        <f t="shared" si="1"/>
        <v>44176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/>
      <c r="C6" s="37"/>
      <c r="D6" s="38">
        <v>44228</v>
      </c>
      <c r="E6" s="35"/>
      <c r="F6" s="39">
        <f t="shared" si="0"/>
        <v>44225</v>
      </c>
      <c r="G6" s="40"/>
      <c r="H6" s="47" t="str">
        <f t="shared" si="1"/>
        <v/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/>
      <c r="C7" s="37"/>
      <c r="D7" s="38">
        <v>44172</v>
      </c>
      <c r="E7" s="35"/>
      <c r="F7" s="39">
        <f t="shared" si="0"/>
        <v>44169</v>
      </c>
      <c r="G7" s="40"/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/>
      <c r="C8" s="37"/>
      <c r="D8" s="38">
        <v>44172</v>
      </c>
      <c r="E8" s="35"/>
      <c r="F8" s="39">
        <f t="shared" si="0"/>
        <v>44169</v>
      </c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/>
      <c r="C9" s="37"/>
      <c r="D9" s="38">
        <v>44172</v>
      </c>
      <c r="E9" s="35"/>
      <c r="F9" s="39">
        <f>WORKDAY(D9,E9-1,tferies(YEAR(D9)))</f>
        <v>44169</v>
      </c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/>
      <c r="C10" s="37"/>
      <c r="D10" s="38">
        <v>44174</v>
      </c>
      <c r="E10" s="35"/>
      <c r="F10" s="39">
        <f>WORKDAY(D10,E10-1,tferies(YEAR(D10)))</f>
        <v>44173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M6" sqref="AM6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32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2.95" customHeight="1" x14ac:dyDescent="0.3">
      <c r="A4" s="4"/>
      <c r="B4" s="15" t="s">
        <v>13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33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34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2.95" customHeight="1" x14ac:dyDescent="0.3">
      <c r="A6" s="6"/>
      <c r="B6" s="15" t="s">
        <v>16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34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2.95" customHeight="1" x14ac:dyDescent="0.3">
      <c r="A7" s="4"/>
      <c r="B7" s="15" t="s">
        <v>17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34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2.95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34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2.95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34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2.95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34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2.95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34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34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34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28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33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34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34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34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34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34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34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34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34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34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28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33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34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34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34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34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34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34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34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34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34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28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33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34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34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34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34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34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34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34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34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34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28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33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34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34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34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34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34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34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34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34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34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28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33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34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34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34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34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34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34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34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34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34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28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33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34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34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34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34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34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34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34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34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34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28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33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34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34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34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34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34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34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34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34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34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28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33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34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34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34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34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34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34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34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34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34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28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33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34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34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34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34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34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34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34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34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34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28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33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34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34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34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34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34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34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34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34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34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28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33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34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34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34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34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34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34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34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34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34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28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33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34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Yanis Guezouli</cp:lastModifiedBy>
  <cp:lastPrinted>2020-12-09T12:47:45Z</cp:lastPrinted>
  <dcterms:created xsi:type="dcterms:W3CDTF">2015-05-13T13:15:15Z</dcterms:created>
  <dcterms:modified xsi:type="dcterms:W3CDTF">2020-12-13T12:13:45Z</dcterms:modified>
</cp:coreProperties>
</file>