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www\G4\e-commerce\eco-service\Ressources\"/>
    </mc:Choice>
  </mc:AlternateContent>
  <xr:revisionPtr revIDLastSave="0" documentId="13_ncr:1_{0650C379-3658-468E-9446-51937FE9A6B0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7" l="1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10" i="7"/>
  <c r="H2" i="7"/>
  <c r="H7" i="7"/>
  <c r="F10" i="7"/>
  <c r="F3" i="7"/>
  <c r="H8" i="7"/>
  <c r="H6" i="7"/>
  <c r="F6" i="7"/>
  <c r="H9" i="7"/>
  <c r="F7" i="7"/>
  <c r="H5" i="7"/>
  <c r="F4" i="7"/>
  <c r="H3" i="7"/>
  <c r="F5" i="7"/>
  <c r="H4" i="7"/>
  <c r="F9" i="7"/>
  <c r="F8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Yanis Guezouli</author>
  </authors>
  <commentList>
    <comment ref="AB3" authorId="0" shapeId="0" xr:uid="{A3B10FE8-127C-4D71-977B-3C37CA593D8E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A26D2858-4B8F-47BF-806C-15F8FB6734DD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<sst xmlns="http://schemas.openxmlformats.org/spreadsheetml/2006/main" count="29" uniqueCount="20">
  <si>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</si>
  <si>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</si>
  <si>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</si>
  <si>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</si>
  <si>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</si>
  <si>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</si>
  <si>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</si>
  <si>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</si>
  <si>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</si>
  <si>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</si>
  <si>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</si>
  <si>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</si>
  <si>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</si>
  <si>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Page Articles</t>
  </si>
  <si>
    <t xml:space="preserve">Yanis </t>
  </si>
  <si>
    <t>Ajout navbar + sidebar</t>
  </si>
  <si>
    <t>Ajout carousel article</t>
  </si>
  <si>
    <t>Mise en page des articles et catégories</t>
  </si>
  <si>
    <t xml:space="preserve">Création d'une barre de recherche </t>
  </si>
  <si>
    <t>Correction graphique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</si>
</sst>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670560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678180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160020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25400</xdr:colOff>
      <xdr:row>3</xdr:row>
      <xdr:rowOff>25400</xdr:rowOff>
    </xdr:from>
    <xdr:to>
      <xdr:col>13</xdr:col>
      <xdr:colOff>180340</xdr:colOff>
      <xdr:row>3</xdr:row>
      <xdr:rowOff>264160</xdr:rowOff>
    </xdr:to>
    <xdr:sp macro="Fiche" textlink="">
      <xdr:nvSpPr>
        <xdr:cNvPr id="9" name="_4|1|44174|4417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660140" y="1214120"/>
          <a:ext cx="56642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Yanis </a:t>
          </a:r>
        </a:p>
      </xdr:txBody>
    </xdr:sp>
    <xdr:clientData/>
  </xdr:twoCellAnchor>
  <xdr:twoCellAnchor>
    <xdr:from>
      <xdr:col>11</xdr:col>
      <xdr:colOff>50800</xdr:colOff>
      <xdr:row>3</xdr:row>
      <xdr:rowOff>213360</xdr:rowOff>
    </xdr:from>
    <xdr:to>
      <xdr:col>11</xdr:col>
      <xdr:colOff>180340</xdr:colOff>
      <xdr:row>3</xdr:row>
      <xdr:rowOff>251460</xdr:rowOff>
    </xdr:to>
    <xdr:sp macro="Fiche" textlink="">
      <xdr:nvSpPr>
        <xdr:cNvPr id="10" name="__Page Articles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685540" y="140208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25400</xdr:colOff>
      <xdr:row>4</xdr:row>
      <xdr:rowOff>25400</xdr:rowOff>
    </xdr:from>
    <xdr:to>
      <xdr:col>11</xdr:col>
      <xdr:colOff>180340</xdr:colOff>
      <xdr:row>4</xdr:row>
      <xdr:rowOff>264160</xdr:rowOff>
    </xdr:to>
    <xdr:sp macro="Fiche" textlink="">
      <xdr:nvSpPr>
        <xdr:cNvPr id="11" name="_5|2|44174|44174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660140" y="1503680"/>
          <a:ext cx="154940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Yanis </a:t>
          </a:r>
        </a:p>
      </xdr:txBody>
    </xdr:sp>
    <xdr:clientData/>
  </xdr:twoCellAnchor>
  <xdr:twoCellAnchor>
    <xdr:from>
      <xdr:col>11</xdr:col>
      <xdr:colOff>50800</xdr:colOff>
      <xdr:row>4</xdr:row>
      <xdr:rowOff>213360</xdr:rowOff>
    </xdr:from>
    <xdr:to>
      <xdr:col>11</xdr:col>
      <xdr:colOff>180340</xdr:colOff>
      <xdr:row>4</xdr:row>
      <xdr:rowOff>251460</xdr:rowOff>
    </xdr:to>
    <xdr:sp macro="Fiche" textlink="">
      <xdr:nvSpPr>
        <xdr:cNvPr id="12" name="__Ajout navbar + sidebar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685540" y="169164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25400</xdr:colOff>
      <xdr:row>5</xdr:row>
      <xdr:rowOff>25400</xdr:rowOff>
    </xdr:from>
    <xdr:to>
      <xdr:col>12</xdr:col>
      <xdr:colOff>180340</xdr:colOff>
      <xdr:row>5</xdr:row>
      <xdr:rowOff>264160</xdr:rowOff>
    </xdr:to>
    <xdr:sp macro="Fiche" textlink="">
      <xdr:nvSpPr>
        <xdr:cNvPr id="13" name="_6|3|44175|44175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65880" y="1793240"/>
          <a:ext cx="154940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  <xdr:twoCellAnchor>
    <xdr:from>
      <xdr:col>12</xdr:col>
      <xdr:colOff>50800</xdr:colOff>
      <xdr:row>5</xdr:row>
      <xdr:rowOff>213360</xdr:rowOff>
    </xdr:from>
    <xdr:to>
      <xdr:col>12</xdr:col>
      <xdr:colOff>180340</xdr:colOff>
      <xdr:row>5</xdr:row>
      <xdr:rowOff>251460</xdr:rowOff>
    </xdr:to>
    <xdr:sp macro="Fiche" textlink="">
      <xdr:nvSpPr>
        <xdr:cNvPr id="14" name="__Ajout carousel article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891280" y="198120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25400</xdr:colOff>
      <xdr:row>6</xdr:row>
      <xdr:rowOff>25400</xdr:rowOff>
    </xdr:from>
    <xdr:to>
      <xdr:col>14</xdr:col>
      <xdr:colOff>180340</xdr:colOff>
      <xdr:row>6</xdr:row>
      <xdr:rowOff>264160</xdr:rowOff>
    </xdr:to>
    <xdr:sp macro="Fiche" textlink="">
      <xdr:nvSpPr>
        <xdr:cNvPr id="15" name="_7|3|44177|44177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277360" y="2082800"/>
          <a:ext cx="15494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B10" sqref="B10"/>
    </sheetView>
  </sheetViews>
  <sheetFormatPr baseColWidth="10" defaultRowHeight="14.4" x14ac:dyDescent="0.3"/>
  <cols>
    <col min="1" max="1" width="6.5546875" customWidth="1"/>
    <col min="2" max="2" width="32.6640625" style="10" bestFit="1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36" t="s">
        <v>13</v>
      </c>
      <c r="C2" s="37" t="s">
        <v>14</v>
      </c>
      <c r="D2" s="38">
        <v>44174</v>
      </c>
      <c r="E2" s="35">
        <v>3</v>
      </c>
      <c r="F2" s="39">
        <f t="shared" ref="F2:F8" si="0">WORKDAY(D2,E2-1,tferies(YEAR(D2)))</f>
        <v>44176</v>
      </c>
      <c r="G2" s="40">
        <v>0.5</v>
      </c>
      <c r="H2" s="47">
        <f t="shared" ref="H2:H9" si="1">IF(G2&gt;0,WORKDAY(D2,(E2*G2)-1,tferies(YEAR(D2))),"")</f>
        <v>44174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15</v>
      </c>
      <c r="C3" s="37" t="s">
        <v>14</v>
      </c>
      <c r="D3" s="38">
        <v>44174</v>
      </c>
      <c r="E3" s="35">
        <v>1</v>
      </c>
      <c r="F3" s="39">
        <f t="shared" si="0"/>
        <v>44174</v>
      </c>
      <c r="G3" s="40">
        <v>1</v>
      </c>
      <c r="H3" s="47">
        <f t="shared" si="1"/>
        <v>44174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16</v>
      </c>
      <c r="C4" s="37" t="s">
        <v>14</v>
      </c>
      <c r="D4" s="38">
        <v>44175</v>
      </c>
      <c r="E4" s="35">
        <v>1</v>
      </c>
      <c r="F4" s="39">
        <f t="shared" si="0"/>
        <v>44175</v>
      </c>
      <c r="G4" s="40">
        <v>1</v>
      </c>
      <c r="H4" s="47">
        <f t="shared" si="1"/>
        <v>44175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 t="s">
        <v>17</v>
      </c>
      <c r="C5" s="37" t="s">
        <v>14</v>
      </c>
      <c r="D5" s="38">
        <v>44177</v>
      </c>
      <c r="E5" s="35">
        <v>2</v>
      </c>
      <c r="F5" s="39">
        <f t="shared" si="0"/>
        <v>44179</v>
      </c>
      <c r="G5" s="40">
        <v>0.8</v>
      </c>
      <c r="H5" s="47">
        <f t="shared" si="1"/>
        <v>44177</v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 t="s">
        <v>18</v>
      </c>
      <c r="C6" s="37" t="s">
        <v>14</v>
      </c>
      <c r="D6" s="38">
        <v>44179</v>
      </c>
      <c r="E6" s="35">
        <v>1</v>
      </c>
      <c r="F6" s="39">
        <f t="shared" si="0"/>
        <v>44179</v>
      </c>
      <c r="G6" s="40">
        <v>0</v>
      </c>
      <c r="H6" s="47" t="str">
        <f t="shared" si="1"/>
        <v/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 t="s">
        <v>19</v>
      </c>
      <c r="C7" s="37" t="s">
        <v>14</v>
      </c>
      <c r="D7" s="38">
        <v>44180</v>
      </c>
      <c r="E7" s="35">
        <v>1</v>
      </c>
      <c r="F7" s="39">
        <f t="shared" si="0"/>
        <v>44180</v>
      </c>
      <c r="G7" s="40">
        <v>0</v>
      </c>
      <c r="H7" s="47" t="str">
        <f t="shared" si="1"/>
        <v/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/>
      <c r="C8" s="37"/>
      <c r="D8" s="38">
        <v>44172</v>
      </c>
      <c r="E8" s="35"/>
      <c r="F8" s="39">
        <f t="shared" si="0"/>
        <v>44169</v>
      </c>
      <c r="G8" s="40"/>
      <c r="H8" s="47" t="str">
        <f t="shared" si="1"/>
        <v/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36"/>
      <c r="C9" s="37"/>
      <c r="D9" s="38">
        <v>44172</v>
      </c>
      <c r="E9" s="35"/>
      <c r="F9" s="39">
        <f>WORKDAY(D9,E9-1,tferies(YEAR(D9)))</f>
        <v>44169</v>
      </c>
      <c r="G9" s="40"/>
      <c r="H9" s="47" t="str">
        <f t="shared" si="1"/>
        <v/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B10" s="36"/>
      <c r="C10" s="37"/>
      <c r="D10" s="38">
        <v>44174</v>
      </c>
      <c r="E10" s="35"/>
      <c r="F10" s="39">
        <f>WORKDAY(D10,E10-1,tferies(YEAR(D10)))</f>
        <v>44173</v>
      </c>
      <c r="G10" s="40"/>
      <c r="H10" s="47" t="str">
        <f t="shared" ref="H10" si="2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3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3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3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3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3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3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3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3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3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3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3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3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M6" sqref="AM6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127" ht="42.6" customHeight="1" x14ac:dyDescent="0.3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17">
        <v>44174</v>
      </c>
      <c r="M3" s="17">
        <v>44175</v>
      </c>
      <c r="N3" s="17">
        <v>44176</v>
      </c>
      <c r="O3" s="26">
        <v>44177</v>
      </c>
      <c r="P3" s="32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2.95" customHeight="1" x14ac:dyDescent="0.3">
      <c r="A4" s="4"/>
      <c r="B4" s="15" t="s">
        <v>13</v>
      </c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28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33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2.95" customHeight="1" x14ac:dyDescent="0.3">
      <c r="A5" s="5"/>
      <c r="B5" s="15" t="s">
        <v>15</v>
      </c>
      <c r="C5" s="16"/>
      <c r="D5" s="3"/>
      <c r="E5" s="3"/>
      <c r="F5" s="3"/>
      <c r="G5" s="3"/>
      <c r="H5" s="27"/>
      <c r="I5" s="27"/>
      <c r="J5" s="3"/>
      <c r="K5" s="3"/>
      <c r="L5" s="3"/>
      <c r="M5" s="3"/>
      <c r="N5" s="3"/>
      <c r="O5" s="27"/>
      <c r="P5" s="34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2.95" customHeight="1" x14ac:dyDescent="0.3">
      <c r="A6" s="6"/>
      <c r="B6" s="15" t="s">
        <v>16</v>
      </c>
      <c r="C6" s="16"/>
      <c r="D6" s="3"/>
      <c r="E6" s="3"/>
      <c r="F6" s="3"/>
      <c r="G6" s="3"/>
      <c r="H6" s="27"/>
      <c r="I6" s="27"/>
      <c r="J6" s="3"/>
      <c r="K6" s="3"/>
      <c r="L6" s="3"/>
      <c r="M6" s="3"/>
      <c r="N6" s="3"/>
      <c r="O6" s="27"/>
      <c r="P6" s="34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2.95" customHeight="1" x14ac:dyDescent="0.3">
      <c r="A7" s="4"/>
      <c r="B7" s="15" t="s">
        <v>17</v>
      </c>
      <c r="C7" s="16"/>
      <c r="D7" s="3"/>
      <c r="E7" s="3"/>
      <c r="F7" s="3"/>
      <c r="G7" s="3"/>
      <c r="H7" s="27"/>
      <c r="I7" s="27"/>
      <c r="J7" s="3"/>
      <c r="K7" s="3"/>
      <c r="L7" s="3"/>
      <c r="M7" s="3"/>
      <c r="N7" s="3"/>
      <c r="O7" s="27"/>
      <c r="P7" s="34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2.95" customHeight="1" x14ac:dyDescent="0.3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"/>
      <c r="M8" s="3"/>
      <c r="N8" s="3"/>
      <c r="O8" s="27"/>
      <c r="P8" s="34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2.95" customHeight="1" x14ac:dyDescent="0.3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"/>
      <c r="M9" s="3"/>
      <c r="N9" s="3"/>
      <c r="O9" s="27"/>
      <c r="P9" s="34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2.95" customHeight="1" x14ac:dyDescent="0.3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"/>
      <c r="M10" s="3"/>
      <c r="N10" s="3"/>
      <c r="O10" s="27"/>
      <c r="P10" s="34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2.95" customHeight="1" x14ac:dyDescent="0.3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"/>
      <c r="M11" s="3"/>
      <c r="N11" s="3"/>
      <c r="O11" s="27"/>
      <c r="P11" s="34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2.95" customHeight="1" x14ac:dyDescent="0.3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"/>
      <c r="M12" s="3"/>
      <c r="N12" s="3"/>
      <c r="O12" s="27"/>
      <c r="P12" s="34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2.95" customHeight="1" x14ac:dyDescent="0.3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"/>
      <c r="M13" s="3"/>
      <c r="N13" s="3"/>
      <c r="O13" s="27"/>
      <c r="P13" s="34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2.95" customHeight="1" x14ac:dyDescent="0.3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28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33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2.95" customHeight="1" x14ac:dyDescent="0.3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"/>
      <c r="M15" s="3"/>
      <c r="N15" s="3"/>
      <c r="O15" s="27"/>
      <c r="P15" s="34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2.95" customHeight="1" x14ac:dyDescent="0.3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"/>
      <c r="M16" s="3"/>
      <c r="N16" s="3"/>
      <c r="O16" s="27"/>
      <c r="P16" s="34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2.95" customHeight="1" x14ac:dyDescent="0.3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"/>
      <c r="M17" s="3"/>
      <c r="N17" s="3"/>
      <c r="O17" s="27"/>
      <c r="P17" s="34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2.95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"/>
      <c r="M18" s="3"/>
      <c r="N18" s="3"/>
      <c r="O18" s="27"/>
      <c r="P18" s="34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2.95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"/>
      <c r="M19" s="3"/>
      <c r="N19" s="3"/>
      <c r="O19" s="27"/>
      <c r="P19" s="34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2.95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"/>
      <c r="M20" s="3"/>
      <c r="N20" s="3"/>
      <c r="O20" s="27"/>
      <c r="P20" s="34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2.95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"/>
      <c r="M21" s="3"/>
      <c r="N21" s="3"/>
      <c r="O21" s="27"/>
      <c r="P21" s="34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2.95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"/>
      <c r="M22" s="3"/>
      <c r="N22" s="3"/>
      <c r="O22" s="27"/>
      <c r="P22" s="34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2.95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"/>
      <c r="M23" s="3"/>
      <c r="N23" s="3"/>
      <c r="O23" s="27"/>
      <c r="P23" s="34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2.95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28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33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2.95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"/>
      <c r="M25" s="3"/>
      <c r="N25" s="3"/>
      <c r="O25" s="27"/>
      <c r="P25" s="34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2.95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"/>
      <c r="M26" s="3"/>
      <c r="N26" s="3"/>
      <c r="O26" s="27"/>
      <c r="P26" s="34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2.95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"/>
      <c r="M27" s="3"/>
      <c r="N27" s="3"/>
      <c r="O27" s="27"/>
      <c r="P27" s="34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2.95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"/>
      <c r="M28" s="3"/>
      <c r="N28" s="3"/>
      <c r="O28" s="27"/>
      <c r="P28" s="34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2.95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"/>
      <c r="M29" s="3"/>
      <c r="N29" s="3"/>
      <c r="O29" s="27"/>
      <c r="P29" s="34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2.95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"/>
      <c r="M30" s="3"/>
      <c r="N30" s="3"/>
      <c r="O30" s="27"/>
      <c r="P30" s="34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2.95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"/>
      <c r="M31" s="3"/>
      <c r="N31" s="3"/>
      <c r="O31" s="27"/>
      <c r="P31" s="34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2.95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"/>
      <c r="M32" s="3"/>
      <c r="N32" s="3"/>
      <c r="O32" s="27"/>
      <c r="P32" s="34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2.95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"/>
      <c r="M33" s="3"/>
      <c r="N33" s="3"/>
      <c r="O33" s="27"/>
      <c r="P33" s="34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2.95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28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33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2.95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"/>
      <c r="M35" s="3"/>
      <c r="N35" s="3"/>
      <c r="O35" s="27"/>
      <c r="P35" s="34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2.95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"/>
      <c r="M36" s="3"/>
      <c r="N36" s="3"/>
      <c r="O36" s="27"/>
      <c r="P36" s="34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2.95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"/>
      <c r="M37" s="3"/>
      <c r="N37" s="3"/>
      <c r="O37" s="27"/>
      <c r="P37" s="34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2.95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"/>
      <c r="M38" s="3"/>
      <c r="N38" s="3"/>
      <c r="O38" s="27"/>
      <c r="P38" s="34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2.95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"/>
      <c r="M39" s="3"/>
      <c r="N39" s="3"/>
      <c r="O39" s="27"/>
      <c r="P39" s="34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2.95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"/>
      <c r="M40" s="3"/>
      <c r="N40" s="3"/>
      <c r="O40" s="27"/>
      <c r="P40" s="34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2.95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"/>
      <c r="M41" s="3"/>
      <c r="N41" s="3"/>
      <c r="O41" s="27"/>
      <c r="P41" s="34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2.95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"/>
      <c r="M42" s="3"/>
      <c r="N42" s="3"/>
      <c r="O42" s="27"/>
      <c r="P42" s="34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2.95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"/>
      <c r="M43" s="3"/>
      <c r="N43" s="3"/>
      <c r="O43" s="27"/>
      <c r="P43" s="34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2.95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28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33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2.95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"/>
      <c r="M45" s="3"/>
      <c r="N45" s="3"/>
      <c r="O45" s="27"/>
      <c r="P45" s="34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2.95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"/>
      <c r="M46" s="3"/>
      <c r="N46" s="3"/>
      <c r="O46" s="27"/>
      <c r="P46" s="34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2.95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"/>
      <c r="M47" s="3"/>
      <c r="N47" s="3"/>
      <c r="O47" s="27"/>
      <c r="P47" s="34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2.95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"/>
      <c r="M48" s="3"/>
      <c r="N48" s="3"/>
      <c r="O48" s="27"/>
      <c r="P48" s="34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2.95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"/>
      <c r="M49" s="3"/>
      <c r="N49" s="3"/>
      <c r="O49" s="27"/>
      <c r="P49" s="34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2.95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"/>
      <c r="M50" s="3"/>
      <c r="N50" s="3"/>
      <c r="O50" s="27"/>
      <c r="P50" s="34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2.95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"/>
      <c r="M51" s="3"/>
      <c r="N51" s="3"/>
      <c r="O51" s="27"/>
      <c r="P51" s="34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2.95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"/>
      <c r="M52" s="3"/>
      <c r="N52" s="3"/>
      <c r="O52" s="27"/>
      <c r="P52" s="34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2.95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"/>
      <c r="M53" s="3"/>
      <c r="N53" s="3"/>
      <c r="O53" s="27"/>
      <c r="P53" s="34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2.95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28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33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2.95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"/>
      <c r="M55" s="3"/>
      <c r="N55" s="3"/>
      <c r="O55" s="27"/>
      <c r="P55" s="34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2.95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"/>
      <c r="M56" s="3"/>
      <c r="N56" s="3"/>
      <c r="O56" s="27"/>
      <c r="P56" s="34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2.95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"/>
      <c r="M57" s="3"/>
      <c r="N57" s="3"/>
      <c r="O57" s="27"/>
      <c r="P57" s="34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2.95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"/>
      <c r="M58" s="3"/>
      <c r="N58" s="3"/>
      <c r="O58" s="27"/>
      <c r="P58" s="34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2.95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"/>
      <c r="M59" s="3"/>
      <c r="N59" s="3"/>
      <c r="O59" s="27"/>
      <c r="P59" s="34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2.95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"/>
      <c r="M60" s="3"/>
      <c r="N60" s="3"/>
      <c r="O60" s="27"/>
      <c r="P60" s="34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2.95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"/>
      <c r="M61" s="3"/>
      <c r="N61" s="3"/>
      <c r="O61" s="27"/>
      <c r="P61" s="34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2.95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"/>
      <c r="M62" s="3"/>
      <c r="N62" s="3"/>
      <c r="O62" s="27"/>
      <c r="P62" s="34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2.95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"/>
      <c r="M63" s="3"/>
      <c r="N63" s="3"/>
      <c r="O63" s="27"/>
      <c r="P63" s="34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2.95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28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33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2.95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"/>
      <c r="M65" s="3"/>
      <c r="N65" s="3"/>
      <c r="O65" s="27"/>
      <c r="P65" s="34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2.95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"/>
      <c r="M66" s="3"/>
      <c r="N66" s="3"/>
      <c r="O66" s="27"/>
      <c r="P66" s="34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2.95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"/>
      <c r="M67" s="3"/>
      <c r="N67" s="3"/>
      <c r="O67" s="27"/>
      <c r="P67" s="34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2.95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"/>
      <c r="M68" s="3"/>
      <c r="N68" s="3"/>
      <c r="O68" s="27"/>
      <c r="P68" s="34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2.95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"/>
      <c r="M69" s="3"/>
      <c r="N69" s="3"/>
      <c r="O69" s="27"/>
      <c r="P69" s="34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2.95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"/>
      <c r="M70" s="3"/>
      <c r="N70" s="3"/>
      <c r="O70" s="27"/>
      <c r="P70" s="34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2.95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"/>
      <c r="M71" s="3"/>
      <c r="N71" s="3"/>
      <c r="O71" s="27"/>
      <c r="P71" s="34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2.95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"/>
      <c r="M72" s="3"/>
      <c r="N72" s="3"/>
      <c r="O72" s="27"/>
      <c r="P72" s="34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2.95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"/>
      <c r="M73" s="3"/>
      <c r="N73" s="3"/>
      <c r="O73" s="27"/>
      <c r="P73" s="34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2.95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28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33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2.95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"/>
      <c r="M75" s="3"/>
      <c r="N75" s="3"/>
      <c r="O75" s="27"/>
      <c r="P75" s="34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2.95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"/>
      <c r="M76" s="3"/>
      <c r="N76" s="3"/>
      <c r="O76" s="27"/>
      <c r="P76" s="34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2.95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"/>
      <c r="M77" s="3"/>
      <c r="N77" s="3"/>
      <c r="O77" s="27"/>
      <c r="P77" s="34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2.95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"/>
      <c r="M78" s="3"/>
      <c r="N78" s="3"/>
      <c r="O78" s="27"/>
      <c r="P78" s="34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2.95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"/>
      <c r="M79" s="3"/>
      <c r="N79" s="3"/>
      <c r="O79" s="27"/>
      <c r="P79" s="34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2.95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"/>
      <c r="M80" s="3"/>
      <c r="N80" s="3"/>
      <c r="O80" s="27"/>
      <c r="P80" s="34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2.95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"/>
      <c r="M81" s="3"/>
      <c r="N81" s="3"/>
      <c r="O81" s="27"/>
      <c r="P81" s="34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2.95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"/>
      <c r="M82" s="3"/>
      <c r="N82" s="3"/>
      <c r="O82" s="27"/>
      <c r="P82" s="34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2.95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"/>
      <c r="M83" s="3"/>
      <c r="N83" s="3"/>
      <c r="O83" s="27"/>
      <c r="P83" s="34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2.95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28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33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2.95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"/>
      <c r="M85" s="3"/>
      <c r="N85" s="3"/>
      <c r="O85" s="27"/>
      <c r="P85" s="34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2.95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"/>
      <c r="M86" s="3"/>
      <c r="N86" s="3"/>
      <c r="O86" s="27"/>
      <c r="P86" s="34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2.95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"/>
      <c r="M87" s="3"/>
      <c r="N87" s="3"/>
      <c r="O87" s="27"/>
      <c r="P87" s="34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2.95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"/>
      <c r="M88" s="3"/>
      <c r="N88" s="3"/>
      <c r="O88" s="27"/>
      <c r="P88" s="34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2.95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"/>
      <c r="M89" s="3"/>
      <c r="N89" s="3"/>
      <c r="O89" s="27"/>
      <c r="P89" s="34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2.95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"/>
      <c r="M90" s="3"/>
      <c r="N90" s="3"/>
      <c r="O90" s="27"/>
      <c r="P90" s="34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2.95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"/>
      <c r="M91" s="3"/>
      <c r="N91" s="3"/>
      <c r="O91" s="27"/>
      <c r="P91" s="34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2.95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"/>
      <c r="M92" s="3"/>
      <c r="N92" s="3"/>
      <c r="O92" s="27"/>
      <c r="P92" s="34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2.95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"/>
      <c r="M93" s="3"/>
      <c r="N93" s="3"/>
      <c r="O93" s="27"/>
      <c r="P93" s="34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2.95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28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33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2.95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"/>
      <c r="M95" s="3"/>
      <c r="N95" s="3"/>
      <c r="O95" s="27"/>
      <c r="P95" s="34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2.95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"/>
      <c r="M96" s="3"/>
      <c r="N96" s="3"/>
      <c r="O96" s="27"/>
      <c r="P96" s="34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2.95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"/>
      <c r="M97" s="3"/>
      <c r="N97" s="3"/>
      <c r="O97" s="27"/>
      <c r="P97" s="34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2.95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"/>
      <c r="M98" s="3"/>
      <c r="N98" s="3"/>
      <c r="O98" s="27"/>
      <c r="P98" s="34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2.95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"/>
      <c r="M99" s="3"/>
      <c r="N99" s="3"/>
      <c r="O99" s="27"/>
      <c r="P99" s="34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2.95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"/>
      <c r="M100" s="3"/>
      <c r="N100" s="3"/>
      <c r="O100" s="27"/>
      <c r="P100" s="34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2.95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"/>
      <c r="M101" s="3"/>
      <c r="N101" s="3"/>
      <c r="O101" s="27"/>
      <c r="P101" s="34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2.95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"/>
      <c r="M102" s="3"/>
      <c r="N102" s="3"/>
      <c r="O102" s="27"/>
      <c r="P102" s="34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2.95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"/>
      <c r="M103" s="3"/>
      <c r="N103" s="3"/>
      <c r="O103" s="27"/>
      <c r="P103" s="34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2.95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28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33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2.95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"/>
      <c r="M105" s="3"/>
      <c r="N105" s="3"/>
      <c r="O105" s="27"/>
      <c r="P105" s="34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2.95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"/>
      <c r="M106" s="3"/>
      <c r="N106" s="3"/>
      <c r="O106" s="27"/>
      <c r="P106" s="34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2.95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"/>
      <c r="M107" s="3"/>
      <c r="N107" s="3"/>
      <c r="O107" s="27"/>
      <c r="P107" s="34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2.95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"/>
      <c r="M108" s="3"/>
      <c r="N108" s="3"/>
      <c r="O108" s="27"/>
      <c r="P108" s="34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2.95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"/>
      <c r="M109" s="3"/>
      <c r="N109" s="3"/>
      <c r="O109" s="27"/>
      <c r="P109" s="34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2.95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"/>
      <c r="M110" s="3"/>
      <c r="N110" s="3"/>
      <c r="O110" s="27"/>
      <c r="P110" s="34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2.95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"/>
      <c r="M111" s="3"/>
      <c r="N111" s="3"/>
      <c r="O111" s="27"/>
      <c r="P111" s="34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2.95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"/>
      <c r="M112" s="3"/>
      <c r="N112" s="3"/>
      <c r="O112" s="27"/>
      <c r="P112" s="34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2.95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"/>
      <c r="M113" s="3"/>
      <c r="N113" s="3"/>
      <c r="O113" s="27"/>
      <c r="P113" s="34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2.95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28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33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2.95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"/>
      <c r="M115" s="3"/>
      <c r="N115" s="3"/>
      <c r="O115" s="27"/>
      <c r="P115" s="34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2.95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"/>
      <c r="M116" s="3"/>
      <c r="N116" s="3"/>
      <c r="O116" s="27"/>
      <c r="P116" s="34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2.95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"/>
      <c r="M117" s="3"/>
      <c r="N117" s="3"/>
      <c r="O117" s="27"/>
      <c r="P117" s="34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2.95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"/>
      <c r="M118" s="3"/>
      <c r="N118" s="3"/>
      <c r="O118" s="27"/>
      <c r="P118" s="34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2.95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"/>
      <c r="M119" s="3"/>
      <c r="N119" s="3"/>
      <c r="O119" s="27"/>
      <c r="P119" s="34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2.95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"/>
      <c r="M120" s="3"/>
      <c r="N120" s="3"/>
      <c r="O120" s="27"/>
      <c r="P120" s="34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2.95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"/>
      <c r="M121" s="3"/>
      <c r="N121" s="3"/>
      <c r="O121" s="27"/>
      <c r="P121" s="34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2.95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"/>
      <c r="M122" s="3"/>
      <c r="N122" s="3"/>
      <c r="O122" s="27"/>
      <c r="P122" s="34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2.95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"/>
      <c r="M123" s="3"/>
      <c r="N123" s="3"/>
      <c r="O123" s="27"/>
      <c r="P123" s="34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2.95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28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33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2.95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"/>
      <c r="M125" s="3"/>
      <c r="N125" s="3"/>
      <c r="O125" s="27"/>
      <c r="P125" s="34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14" r:id="rId4" name="CommandButton1">
          <controlPr defaultSize="0" autoLine="0" autoPict="0" r:id="rId5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4" name="CommandButton1"/>
      </mc:Fallback>
    </mc:AlternateContent>
    <mc:AlternateContent xmlns:mc="http://schemas.openxmlformats.org/markup-compatibility/2006">
      <mc:Choice Requires="x14">
        <control shapeId="2826" r:id="rId6" name="ComboBox3">
          <controlPr defaultSize="0" autoLine="0" r:id="rId7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160020</xdr:colOff>
                <xdr:row>0</xdr:row>
                <xdr:rowOff>403860</xdr:rowOff>
              </to>
            </anchor>
          </controlPr>
        </control>
      </mc:Choice>
      <mc:Fallback>
        <control shapeId="2826" r:id="rId6" name="ComboBox3"/>
      </mc:Fallback>
    </mc:AlternateContent>
    <mc:AlternateContent xmlns:mc="http://schemas.openxmlformats.org/markup-compatibility/2006">
      <mc:Choice Requires="x14">
        <control shapeId="1240" r:id="rId8" name="ComboBox1">
          <controlPr defaultSize="0" autoLine="0" r:id="rId9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670560</xdr:colOff>
                <xdr:row>0</xdr:row>
                <xdr:rowOff>525780</xdr:rowOff>
              </to>
            </anchor>
          </controlPr>
        </control>
      </mc:Choice>
      <mc:Fallback>
        <control shapeId="1240" r:id="rId8" name="ComboBox1"/>
      </mc:Fallback>
    </mc:AlternateContent>
    <mc:AlternateContent xmlns:mc="http://schemas.openxmlformats.org/markup-compatibility/2006">
      <mc:Choice Requires="x14">
        <control shapeId="1241" r:id="rId10" name="ComboBox2">
          <controlPr defaultSize="0" autoLine="0" r:id="rId11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678180</xdr:colOff>
                <xdr:row>0</xdr:row>
                <xdr:rowOff>266700</xdr:rowOff>
              </to>
            </anchor>
          </controlPr>
        </control>
      </mc:Choice>
      <mc:Fallback>
        <control shapeId="1241" r:id="rId10" name="ComboBox2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Yanis Guezouli</cp:lastModifiedBy>
  <cp:lastPrinted>2020-12-09T12:47:45Z</cp:lastPrinted>
  <dcterms:created xsi:type="dcterms:W3CDTF">2015-05-13T13:15:15Z</dcterms:created>
  <dcterms:modified xsi:type="dcterms:W3CDTF">2020-12-13T13:03:52Z</dcterms:modified>
</cp:coreProperties>
</file>