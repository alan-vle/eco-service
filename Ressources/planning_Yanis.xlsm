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www\G4\e-commerce\eco-service\Ressources\"/>
    </mc:Choice>
  </mc:AlternateContent>
  <xr:revisionPtr revIDLastSave="0" documentId="13_ncr:1_{E87D2DE1-9723-4880-86CB-14FC6E9EDE6C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7" l="1"/>
  <c r="F2" i="7"/>
  <c r="DW124" i="6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9" i="7"/>
  <c r="H2" i="7"/>
  <c r="H6" i="7"/>
  <c r="F3" i="7"/>
  <c r="H7" i="7"/>
  <c r="H8" i="7"/>
  <c r="F8" i="7"/>
  <c r="F6" i="7"/>
  <c r="H5" i="7"/>
  <c r="F4" i="7"/>
  <c r="H3" i="7"/>
  <c r="F5" i="7"/>
  <c r="H4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Yanis Guezouli</author>
  </authors>
  <commentList>
    <comment ref="AB3" authorId="0" shapeId="0" xr:uid="{A3B10FE8-127C-4D71-977B-3C37CA593D8E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A26D2858-4B8F-47BF-806C-15F8FB6734DD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<sst xmlns="http://schemas.openxmlformats.org/spreadsheetml/2006/main" count="36" uniqueCount="23">
  <si>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</si>
  <si>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</si>
  <si>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</si>
  <si>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</si>
  <si>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</si>
  <si>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</si>
  <si>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</si>
  <si>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</si>
  <si>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</si>
  <si>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</si>
  <si>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</si>
  <si>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</si>
  <si>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</si>
  <si>
    <t>Page Articles</t>
  </si>
  <si>
    <t xml:space="preserve">Yanis </t>
  </si>
  <si>
    <t>Ajout navbar + sidebar</t>
  </si>
  <si>
    <t>Ajout carousel article</t>
  </si>
  <si>
    <t>Mise en page des articles et catégories</t>
  </si>
  <si>
    <t xml:space="preserve">Création d'une barre de recherche </t>
  </si>
  <si>
    <t>Correction graphique</t>
  </si>
  <si>
    <t>Rendu responsive (reprise le 25/01)</t>
  </si>
  <si>
    <t xml:space="preserve">Création page panier 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</si>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</sst>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0</xdr:row>
          <xdr:rowOff>289560</xdr:rowOff>
        </xdr:from>
        <xdr:to>
          <xdr:col>2</xdr:col>
          <xdr:colOff>670560</xdr:colOff>
          <xdr:row>0</xdr:row>
          <xdr:rowOff>525780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0</xdr:row>
          <xdr:rowOff>30480</xdr:rowOff>
        </xdr:from>
        <xdr:to>
          <xdr:col>2</xdr:col>
          <xdr:colOff>678180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0</xdr:row>
          <xdr:rowOff>297180</xdr:rowOff>
        </xdr:from>
        <xdr:to>
          <xdr:col>2</xdr:col>
          <xdr:colOff>876300</xdr:colOff>
          <xdr:row>0</xdr:row>
          <xdr:rowOff>487680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304800</xdr:rowOff>
        </xdr:from>
        <xdr:to>
          <xdr:col>1</xdr:col>
          <xdr:colOff>236220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0</xdr:row>
          <xdr:rowOff>175260</xdr:rowOff>
        </xdr:from>
        <xdr:to>
          <xdr:col>13</xdr:col>
          <xdr:colOff>160020</xdr:colOff>
          <xdr:row>0</xdr:row>
          <xdr:rowOff>403860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</xdr:row>
          <xdr:rowOff>144780</xdr:rowOff>
        </xdr:from>
        <xdr:to>
          <xdr:col>2</xdr:col>
          <xdr:colOff>899160</xdr:colOff>
          <xdr:row>2</xdr:row>
          <xdr:rowOff>220980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25400</xdr:colOff>
      <xdr:row>3</xdr:row>
      <xdr:rowOff>25400</xdr:rowOff>
    </xdr:from>
    <xdr:to>
      <xdr:col>13</xdr:col>
      <xdr:colOff>180340</xdr:colOff>
      <xdr:row>3</xdr:row>
      <xdr:rowOff>264160</xdr:rowOff>
    </xdr:to>
    <xdr:sp macro="Fiche" textlink="">
      <xdr:nvSpPr>
        <xdr:cNvPr id="9" name="_4|1|44174|4417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660140" y="1214120"/>
          <a:ext cx="56642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 Yanis </a:t>
          </a:r>
        </a:p>
      </xdr:txBody>
    </xdr:sp>
    <xdr:clientData/>
  </xdr:twoCellAnchor>
  <xdr:twoCellAnchor>
    <xdr:from>
      <xdr:col>11</xdr:col>
      <xdr:colOff>50800</xdr:colOff>
      <xdr:row>3</xdr:row>
      <xdr:rowOff>213360</xdr:rowOff>
    </xdr:from>
    <xdr:to>
      <xdr:col>11</xdr:col>
      <xdr:colOff>180340</xdr:colOff>
      <xdr:row>3</xdr:row>
      <xdr:rowOff>251460</xdr:rowOff>
    </xdr:to>
    <xdr:sp macro="Fiche" textlink="">
      <xdr:nvSpPr>
        <xdr:cNvPr id="10" name="__Page Articles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685540" y="140208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25400</xdr:colOff>
      <xdr:row>4</xdr:row>
      <xdr:rowOff>25400</xdr:rowOff>
    </xdr:from>
    <xdr:to>
      <xdr:col>11</xdr:col>
      <xdr:colOff>180340</xdr:colOff>
      <xdr:row>4</xdr:row>
      <xdr:rowOff>264160</xdr:rowOff>
    </xdr:to>
    <xdr:sp macro="Fiche" textlink="">
      <xdr:nvSpPr>
        <xdr:cNvPr id="11" name="_5|2|44174|44174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660140" y="1503680"/>
          <a:ext cx="154940" cy="23876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2 Yanis </a:t>
          </a:r>
        </a:p>
      </xdr:txBody>
    </xdr:sp>
    <xdr:clientData/>
  </xdr:twoCellAnchor>
  <xdr:twoCellAnchor>
    <xdr:from>
      <xdr:col>11</xdr:col>
      <xdr:colOff>50800</xdr:colOff>
      <xdr:row>4</xdr:row>
      <xdr:rowOff>213360</xdr:rowOff>
    </xdr:from>
    <xdr:to>
      <xdr:col>11</xdr:col>
      <xdr:colOff>180340</xdr:colOff>
      <xdr:row>4</xdr:row>
      <xdr:rowOff>251460</xdr:rowOff>
    </xdr:to>
    <xdr:sp macro="Fiche" textlink="">
      <xdr:nvSpPr>
        <xdr:cNvPr id="12" name="__Ajout navbar + sidebar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685540" y="169164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25400</xdr:colOff>
      <xdr:row>5</xdr:row>
      <xdr:rowOff>25400</xdr:rowOff>
    </xdr:from>
    <xdr:to>
      <xdr:col>12</xdr:col>
      <xdr:colOff>180340</xdr:colOff>
      <xdr:row>5</xdr:row>
      <xdr:rowOff>264160</xdr:rowOff>
    </xdr:to>
    <xdr:sp macro="Fiche" textlink="">
      <xdr:nvSpPr>
        <xdr:cNvPr id="13" name="_6|3|44175|44175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865880" y="1793240"/>
          <a:ext cx="154940" cy="238760"/>
        </a:xfrm>
        <a:prstGeom prst="roundRect">
          <a:avLst/>
        </a:prstGeom>
        <a:solidFill>
          <a:srgbClr val="FFC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Yanis </a:t>
          </a:r>
        </a:p>
      </xdr:txBody>
    </xdr:sp>
    <xdr:clientData/>
  </xdr:twoCellAnchor>
  <xdr:twoCellAnchor>
    <xdr:from>
      <xdr:col>12</xdr:col>
      <xdr:colOff>50800</xdr:colOff>
      <xdr:row>5</xdr:row>
      <xdr:rowOff>213360</xdr:rowOff>
    </xdr:from>
    <xdr:to>
      <xdr:col>12</xdr:col>
      <xdr:colOff>180340</xdr:colOff>
      <xdr:row>5</xdr:row>
      <xdr:rowOff>251460</xdr:rowOff>
    </xdr:to>
    <xdr:sp macro="Fiche" textlink="">
      <xdr:nvSpPr>
        <xdr:cNvPr id="14" name="__Ajout carousel article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891280" y="198120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25400</xdr:colOff>
      <xdr:row>6</xdr:row>
      <xdr:rowOff>25400</xdr:rowOff>
    </xdr:from>
    <xdr:to>
      <xdr:col>14</xdr:col>
      <xdr:colOff>180340</xdr:colOff>
      <xdr:row>6</xdr:row>
      <xdr:rowOff>264160</xdr:rowOff>
    </xdr:to>
    <xdr:sp macro="Fiche" textlink="">
      <xdr:nvSpPr>
        <xdr:cNvPr id="15" name="_7|3|44177|44177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277360" y="2082800"/>
          <a:ext cx="15494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Yanis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G13" sqref="G13"/>
    </sheetView>
  </sheetViews>
  <sheetFormatPr baseColWidth="10" defaultRowHeight="14.4" x14ac:dyDescent="0.3"/>
  <cols>
    <col min="1" max="1" width="6.5546875" customWidth="1"/>
    <col min="2" max="2" width="32.6640625" style="10" bestFit="1" customWidth="1"/>
    <col min="3" max="3" width="31.33203125" customWidth="1"/>
    <col min="4" max="4" width="11.6640625" customWidth="1"/>
    <col min="5" max="5" width="11.6640625" style="19" customWidth="1"/>
    <col min="6" max="6" width="11.6640625" customWidth="1"/>
    <col min="7" max="7" width="11.6640625" style="19" customWidth="1"/>
    <col min="8" max="8" width="12.44140625" bestFit="1" customWidth="1"/>
    <col min="9" max="10" width="11.6640625" customWidth="1"/>
    <col min="11" max="22" width="10.88671875" customWidth="1"/>
    <col min="28" max="28" width="16.5546875" customWidth="1"/>
  </cols>
  <sheetData>
    <row r="1" spans="1:34" x14ac:dyDescent="0.3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3">
      <c r="A2" s="46">
        <v>1</v>
      </c>
      <c r="B2" s="36" t="s">
        <v>13</v>
      </c>
      <c r="C2" s="37" t="s">
        <v>14</v>
      </c>
      <c r="D2" s="38">
        <v>44174</v>
      </c>
      <c r="E2" s="35">
        <v>3</v>
      </c>
      <c r="F2" s="39">
        <f t="shared" ref="F2:F5" si="0">WORKDAY(D2,E2-1,tferies(YEAR(D2)))</f>
        <v>44176</v>
      </c>
      <c r="G2" s="40">
        <v>0.8</v>
      </c>
      <c r="H2" s="47">
        <f t="shared" ref="H2:H5" si="1">IF(G2&gt;0,WORKDAY(D2,(E2*G2)-1,tferies(YEAR(D2))),"")</f>
        <v>44175</v>
      </c>
      <c r="AB2" s="18"/>
      <c r="AC2" s="18"/>
      <c r="AD2" s="18"/>
      <c r="AE2" s="18"/>
      <c r="AF2" s="18"/>
    </row>
    <row r="3" spans="1:34" x14ac:dyDescent="0.3">
      <c r="A3" s="46">
        <v>2</v>
      </c>
      <c r="B3" s="36" t="s">
        <v>15</v>
      </c>
      <c r="C3" s="37" t="s">
        <v>14</v>
      </c>
      <c r="D3" s="38">
        <v>44174</v>
      </c>
      <c r="E3" s="35">
        <v>1</v>
      </c>
      <c r="F3" s="39">
        <f t="shared" si="0"/>
        <v>44174</v>
      </c>
      <c r="G3" s="40">
        <v>1</v>
      </c>
      <c r="H3" s="47">
        <f t="shared" si="1"/>
        <v>44174</v>
      </c>
      <c r="AB3" s="18"/>
      <c r="AC3" s="18"/>
      <c r="AD3" s="18"/>
      <c r="AE3" s="18"/>
      <c r="AF3" s="18"/>
    </row>
    <row r="4" spans="1:34" x14ac:dyDescent="0.3">
      <c r="A4" s="46">
        <v>3</v>
      </c>
      <c r="B4" s="36" t="s">
        <v>16</v>
      </c>
      <c r="C4" s="37" t="s">
        <v>14</v>
      </c>
      <c r="D4" s="38">
        <v>44175</v>
      </c>
      <c r="E4" s="35">
        <v>1</v>
      </c>
      <c r="F4" s="39">
        <f t="shared" si="0"/>
        <v>44175</v>
      </c>
      <c r="G4" s="40">
        <v>1</v>
      </c>
      <c r="H4" s="47">
        <f t="shared" si="1"/>
        <v>44175</v>
      </c>
      <c r="AB4" s="18"/>
      <c r="AC4" s="18"/>
      <c r="AD4" s="18"/>
      <c r="AE4" s="18"/>
      <c r="AF4" s="18"/>
    </row>
    <row r="5" spans="1:34" x14ac:dyDescent="0.3">
      <c r="A5" s="46">
        <v>3</v>
      </c>
      <c r="B5" s="36" t="s">
        <v>17</v>
      </c>
      <c r="C5" s="37" t="s">
        <v>14</v>
      </c>
      <c r="D5" s="38">
        <v>44177</v>
      </c>
      <c r="E5" s="35">
        <v>2</v>
      </c>
      <c r="F5" s="39">
        <f t="shared" si="0"/>
        <v>44179</v>
      </c>
      <c r="G5" s="40">
        <v>0.9</v>
      </c>
      <c r="H5" s="47">
        <f t="shared" si="1"/>
        <v>44177</v>
      </c>
      <c r="AB5" s="18"/>
      <c r="AC5" s="18"/>
      <c r="AD5" s="18"/>
      <c r="AE5" s="18"/>
      <c r="AF5" s="18"/>
      <c r="AH5" s="18"/>
    </row>
    <row r="6" spans="1:34" x14ac:dyDescent="0.3">
      <c r="A6" s="46">
        <v>5</v>
      </c>
      <c r="B6" s="36" t="s">
        <v>19</v>
      </c>
      <c r="C6" s="37" t="s">
        <v>14</v>
      </c>
      <c r="D6" s="38">
        <v>44180</v>
      </c>
      <c r="E6" s="35">
        <v>1</v>
      </c>
      <c r="F6" s="39">
        <f>WORKDAY(D6,E6-1,tferies(YEAR(D6)))</f>
        <v>44180</v>
      </c>
      <c r="G6" s="40">
        <v>1</v>
      </c>
      <c r="H6" s="47">
        <f>IF(G6&gt;0,WORKDAY(D6,(E6*G6)-1,tferies(YEAR(D6))),"")</f>
        <v>44180</v>
      </c>
      <c r="AB6" s="18"/>
      <c r="AC6" s="18"/>
      <c r="AD6" s="18"/>
      <c r="AE6" s="18"/>
      <c r="AF6" s="18"/>
      <c r="AH6" s="18"/>
    </row>
    <row r="7" spans="1:34" x14ac:dyDescent="0.3">
      <c r="A7" s="46">
        <v>6</v>
      </c>
      <c r="B7" s="36" t="s">
        <v>20</v>
      </c>
      <c r="C7" s="37" t="s">
        <v>14</v>
      </c>
      <c r="D7" s="38">
        <v>44183</v>
      </c>
      <c r="E7" s="35">
        <v>2</v>
      </c>
      <c r="F7" s="39">
        <f>WORKDAY(D7,E7-1,tferies(YEAR(D7)))</f>
        <v>44186</v>
      </c>
      <c r="G7" s="40"/>
      <c r="H7" s="47" t="str">
        <f>IF(G7&gt;0,WORKDAY(D7,(E7*G7)-1,tferies(YEAR(D7))),"")</f>
        <v/>
      </c>
      <c r="AB7" s="18"/>
      <c r="AC7" s="18"/>
      <c r="AD7" s="18"/>
      <c r="AE7" s="18"/>
      <c r="AF7" s="18"/>
      <c r="AH7" s="18"/>
    </row>
    <row r="8" spans="1:34" x14ac:dyDescent="0.3">
      <c r="A8" s="48">
        <v>7</v>
      </c>
      <c r="B8" s="36" t="s">
        <v>18</v>
      </c>
      <c r="C8" s="37" t="s">
        <v>14</v>
      </c>
      <c r="D8" s="38">
        <v>43859</v>
      </c>
      <c r="E8" s="35">
        <v>2</v>
      </c>
      <c r="F8" s="39">
        <f>WORKDAY(D8,E8-1,tferies(YEAR(D8)))</f>
        <v>43860</v>
      </c>
      <c r="G8" s="40">
        <v>0.1</v>
      </c>
      <c r="H8" s="47">
        <f>IF(G8&gt;0,WORKDAY(D8,(E8*G8)-1,tferies(YEAR(D8))),"")</f>
        <v>43858</v>
      </c>
      <c r="AB8" s="18"/>
      <c r="AC8" s="18"/>
      <c r="AD8" s="18"/>
      <c r="AE8" s="18"/>
      <c r="AF8" s="18"/>
      <c r="AH8" s="18"/>
    </row>
    <row r="9" spans="1:34" x14ac:dyDescent="0.3">
      <c r="A9" s="46">
        <v>8</v>
      </c>
      <c r="B9" s="36" t="s">
        <v>21</v>
      </c>
      <c r="C9" s="37" t="s">
        <v>14</v>
      </c>
      <c r="D9" s="38" t="s">
        <v>22</v>
      </c>
      <c r="E9" s="35" t="s">
        <v>22</v>
      </c>
      <c r="F9" s="39" t="s">
        <v>22</v>
      </c>
      <c r="G9" s="40">
        <v>0</v>
      </c>
      <c r="H9" s="47" t="str">
        <f t="shared" ref="H9" si="2">IF(G9&gt;0,WORKDAY(D9,(E9*G9)-1,tferies(YEAR(D9))),"")</f>
        <v/>
      </c>
      <c r="AB9" s="18"/>
      <c r="AC9" s="18"/>
      <c r="AD9" s="18"/>
      <c r="AE9" s="18"/>
      <c r="AF9" s="18"/>
      <c r="AH9" s="18"/>
    </row>
    <row r="10" spans="1:34" x14ac:dyDescent="0.3">
      <c r="A10" s="46">
        <v>9</v>
      </c>
      <c r="AB10" s="18"/>
      <c r="AC10" s="18"/>
      <c r="AD10" s="18"/>
      <c r="AE10" s="18"/>
      <c r="AF10" s="18"/>
    </row>
    <row r="11" spans="1:34" x14ac:dyDescent="0.3">
      <c r="A11" s="46">
        <f>A10+1</f>
        <v>10</v>
      </c>
      <c r="B11" s="42"/>
      <c r="C11" s="41"/>
      <c r="D11" s="41"/>
      <c r="E11" s="35"/>
      <c r="F11" s="41"/>
      <c r="G11" s="35"/>
      <c r="H11" s="49"/>
      <c r="AB11" s="18"/>
      <c r="AC11" s="18"/>
      <c r="AD11" s="18"/>
      <c r="AE11" s="18"/>
      <c r="AF11" s="18"/>
    </row>
    <row r="12" spans="1:34" x14ac:dyDescent="0.3">
      <c r="A12" s="46">
        <f t="shared" ref="A12:A72" si="3">A11+1</f>
        <v>11</v>
      </c>
      <c r="B12" s="42"/>
      <c r="C12" s="41"/>
      <c r="D12" s="41"/>
      <c r="E12" s="35"/>
      <c r="F12" s="41"/>
      <c r="G12" s="35"/>
      <c r="H12" s="49"/>
      <c r="AB12" s="18"/>
      <c r="AC12" s="18"/>
      <c r="AD12" s="18"/>
      <c r="AE12" s="18"/>
      <c r="AF12" s="18"/>
    </row>
    <row r="13" spans="1:34" x14ac:dyDescent="0.3">
      <c r="A13" s="46">
        <f t="shared" si="3"/>
        <v>12</v>
      </c>
      <c r="B13" s="42"/>
      <c r="C13" s="41"/>
      <c r="D13" s="41"/>
      <c r="E13" s="35"/>
      <c r="F13" s="41"/>
      <c r="G13" s="35"/>
      <c r="H13" s="49"/>
      <c r="AB13" s="18"/>
      <c r="AC13" s="18"/>
      <c r="AD13" s="18"/>
      <c r="AE13" s="18"/>
      <c r="AF13" s="18"/>
    </row>
    <row r="14" spans="1:34" x14ac:dyDescent="0.3">
      <c r="A14" s="46">
        <f t="shared" si="3"/>
        <v>13</v>
      </c>
      <c r="B14" s="42"/>
      <c r="C14" s="41"/>
      <c r="D14" s="41"/>
      <c r="E14" s="35"/>
      <c r="F14" s="41"/>
      <c r="G14" s="35"/>
      <c r="H14" s="49"/>
      <c r="AB14" s="18"/>
      <c r="AC14" s="18"/>
      <c r="AD14" s="18"/>
      <c r="AE14" s="18"/>
      <c r="AF14" s="18"/>
    </row>
    <row r="15" spans="1:34" x14ac:dyDescent="0.3">
      <c r="A15" s="46">
        <f t="shared" si="3"/>
        <v>14</v>
      </c>
      <c r="B15" s="42"/>
      <c r="C15" s="41"/>
      <c r="D15" s="41"/>
      <c r="E15" s="35"/>
      <c r="F15" s="41"/>
      <c r="G15" s="35"/>
      <c r="H15" s="49"/>
    </row>
    <row r="16" spans="1:34" x14ac:dyDescent="0.3">
      <c r="A16" s="46">
        <f t="shared" si="3"/>
        <v>15</v>
      </c>
      <c r="B16" s="42"/>
      <c r="C16" s="41"/>
      <c r="D16" s="42"/>
      <c r="E16" s="42"/>
      <c r="F16" s="42"/>
      <c r="G16" s="42"/>
      <c r="H16" s="49"/>
    </row>
    <row r="17" spans="1:32" x14ac:dyDescent="0.3">
      <c r="A17" s="46">
        <f t="shared" si="3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3">
      <c r="A18" s="46">
        <f t="shared" si="3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3">
      <c r="A19" s="46">
        <f t="shared" si="3"/>
        <v>18</v>
      </c>
      <c r="B19" s="42"/>
      <c r="C19" s="41"/>
      <c r="D19" s="41"/>
      <c r="E19" s="35"/>
      <c r="F19" s="41"/>
      <c r="G19" s="35"/>
      <c r="H19" s="49"/>
    </row>
    <row r="20" spans="1:32" x14ac:dyDescent="0.3">
      <c r="A20" s="46">
        <f t="shared" si="3"/>
        <v>19</v>
      </c>
      <c r="B20" s="42"/>
      <c r="C20" s="41"/>
      <c r="D20" s="41"/>
      <c r="E20" s="35"/>
      <c r="F20" s="41"/>
      <c r="G20" s="35"/>
      <c r="H20" s="49"/>
    </row>
    <row r="21" spans="1:32" x14ac:dyDescent="0.3">
      <c r="A21" s="46">
        <f t="shared" si="3"/>
        <v>20</v>
      </c>
      <c r="B21" s="42"/>
      <c r="C21" s="41"/>
      <c r="D21" s="41"/>
      <c r="E21" s="35"/>
      <c r="F21" s="41"/>
      <c r="G21" s="35"/>
      <c r="H21" s="49"/>
    </row>
    <row r="22" spans="1:32" x14ac:dyDescent="0.3">
      <c r="A22" s="46">
        <f t="shared" si="3"/>
        <v>21</v>
      </c>
      <c r="B22" s="42"/>
      <c r="C22" s="41"/>
      <c r="D22" s="41"/>
      <c r="E22" s="35"/>
      <c r="F22" s="41"/>
      <c r="G22" s="35"/>
      <c r="H22" s="49"/>
    </row>
    <row r="23" spans="1:32" x14ac:dyDescent="0.3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3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3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3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3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3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3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3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3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3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3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3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3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3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3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3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3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3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3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3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3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3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3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3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3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3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3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3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3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3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3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3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3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3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3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3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3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3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3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3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3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3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3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3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3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3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3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3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3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" thickBot="1" x14ac:dyDescent="0.35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M6" sqref="AM6"/>
    </sheetView>
  </sheetViews>
  <sheetFormatPr baseColWidth="10" defaultRowHeight="14.4" x14ac:dyDescent="0.3"/>
  <cols>
    <col min="1" max="1" width="1.88671875" customWidth="1"/>
    <col min="2" max="2" width="12.6640625" customWidth="1"/>
    <col min="3" max="3" width="14.44140625" customWidth="1"/>
    <col min="4" max="93" width="3" customWidth="1"/>
    <col min="94" max="96" width="3" hidden="1" customWidth="1"/>
    <col min="97" max="127" width="3" customWidth="1"/>
    <col min="128" max="219" width="2.88671875" customWidth="1"/>
    <col min="220" max="220" width="2.88671875" hidden="1" customWidth="1"/>
    <col min="221" max="281" width="2.88671875" customWidth="1"/>
    <col min="282" max="282" width="2.88671875" hidden="1" customWidth="1"/>
    <col min="283" max="372" width="2.88671875" customWidth="1"/>
    <col min="373" max="375" width="2.88671875" hidden="1" customWidth="1"/>
    <col min="376" max="762" width="2.88671875" customWidth="1"/>
  </cols>
  <sheetData>
    <row r="1" spans="1:127" ht="42.6" customHeight="1" x14ac:dyDescent="0.3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3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3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17">
        <v>44174</v>
      </c>
      <c r="M3" s="17">
        <v>44175</v>
      </c>
      <c r="N3" s="17">
        <v>44176</v>
      </c>
      <c r="O3" s="26">
        <v>44177</v>
      </c>
      <c r="P3" s="32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2.95" customHeight="1" x14ac:dyDescent="0.3">
      <c r="A4" s="4"/>
      <c r="B4" s="15" t="s">
        <v>13</v>
      </c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28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33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2.95" customHeight="1" x14ac:dyDescent="0.3">
      <c r="A5" s="5"/>
      <c r="B5" s="15" t="s">
        <v>15</v>
      </c>
      <c r="C5" s="16"/>
      <c r="D5" s="3"/>
      <c r="E5" s="3"/>
      <c r="F5" s="3"/>
      <c r="G5" s="3"/>
      <c r="H5" s="27"/>
      <c r="I5" s="27"/>
      <c r="J5" s="3"/>
      <c r="K5" s="3"/>
      <c r="L5" s="3"/>
      <c r="M5" s="3"/>
      <c r="N5" s="3"/>
      <c r="O5" s="27"/>
      <c r="P5" s="34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2.95" customHeight="1" x14ac:dyDescent="0.3">
      <c r="A6" s="6"/>
      <c r="B6" s="15" t="s">
        <v>16</v>
      </c>
      <c r="C6" s="16"/>
      <c r="D6" s="3"/>
      <c r="E6" s="3"/>
      <c r="F6" s="3"/>
      <c r="G6" s="3"/>
      <c r="H6" s="27"/>
      <c r="I6" s="27"/>
      <c r="J6" s="3"/>
      <c r="K6" s="3"/>
      <c r="L6" s="3"/>
      <c r="M6" s="3"/>
      <c r="N6" s="3"/>
      <c r="O6" s="27"/>
      <c r="P6" s="34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2.95" customHeight="1" x14ac:dyDescent="0.3">
      <c r="A7" s="4"/>
      <c r="B7" s="15" t="s">
        <v>17</v>
      </c>
      <c r="C7" s="16"/>
      <c r="D7" s="3"/>
      <c r="E7" s="3"/>
      <c r="F7" s="3"/>
      <c r="G7" s="3"/>
      <c r="H7" s="27"/>
      <c r="I7" s="27"/>
      <c r="J7" s="3"/>
      <c r="K7" s="3"/>
      <c r="L7" s="3"/>
      <c r="M7" s="3"/>
      <c r="N7" s="3"/>
      <c r="O7" s="27"/>
      <c r="P7" s="34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2.95" customHeight="1" x14ac:dyDescent="0.3">
      <c r="A8" s="8"/>
      <c r="B8" s="15"/>
      <c r="C8" s="16"/>
      <c r="D8" s="3"/>
      <c r="E8" s="3"/>
      <c r="F8" s="3"/>
      <c r="G8" s="3"/>
      <c r="H8" s="27"/>
      <c r="I8" s="27"/>
      <c r="J8" s="3"/>
      <c r="K8" s="3"/>
      <c r="L8" s="3"/>
      <c r="M8" s="3"/>
      <c r="N8" s="3"/>
      <c r="O8" s="27"/>
      <c r="P8" s="34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2.95" customHeight="1" x14ac:dyDescent="0.3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"/>
      <c r="M9" s="3"/>
      <c r="N9" s="3"/>
      <c r="O9" s="27"/>
      <c r="P9" s="34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2.95" customHeight="1" x14ac:dyDescent="0.3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"/>
      <c r="M10" s="3"/>
      <c r="N10" s="3"/>
      <c r="O10" s="27"/>
      <c r="P10" s="34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2.95" customHeight="1" x14ac:dyDescent="0.3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"/>
      <c r="M11" s="3"/>
      <c r="N11" s="3"/>
      <c r="O11" s="27"/>
      <c r="P11" s="34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2.95" customHeight="1" x14ac:dyDescent="0.3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"/>
      <c r="M12" s="3"/>
      <c r="N12" s="3"/>
      <c r="O12" s="27"/>
      <c r="P12" s="34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2.95" customHeight="1" x14ac:dyDescent="0.3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"/>
      <c r="M13" s="3"/>
      <c r="N13" s="3"/>
      <c r="O13" s="27"/>
      <c r="P13" s="34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2.95" customHeight="1" x14ac:dyDescent="0.3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28" t="str">
        <f t="shared" si="3"/>
        <v/>
      </c>
      <c r="M14" s="28" t="str">
        <f t="shared" si="3"/>
        <v/>
      </c>
      <c r="N14" s="28" t="str">
        <f t="shared" si="3"/>
        <v/>
      </c>
      <c r="O14" s="29" t="str">
        <f t="shared" si="3"/>
        <v/>
      </c>
      <c r="P14" s="33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2.95" customHeight="1" x14ac:dyDescent="0.3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"/>
      <c r="M15" s="3"/>
      <c r="N15" s="3"/>
      <c r="O15" s="27"/>
      <c r="P15" s="34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2.95" customHeight="1" x14ac:dyDescent="0.3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"/>
      <c r="M16" s="3"/>
      <c r="N16" s="3"/>
      <c r="O16" s="27"/>
      <c r="P16" s="34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2.95" customHeight="1" x14ac:dyDescent="0.3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"/>
      <c r="M17" s="3"/>
      <c r="N17" s="3"/>
      <c r="O17" s="27"/>
      <c r="P17" s="34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2.95" customHeight="1" x14ac:dyDescent="0.3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"/>
      <c r="M18" s="3"/>
      <c r="N18" s="3"/>
      <c r="O18" s="27"/>
      <c r="P18" s="34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2.95" customHeight="1" x14ac:dyDescent="0.3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"/>
      <c r="M19" s="3"/>
      <c r="N19" s="3"/>
      <c r="O19" s="27"/>
      <c r="P19" s="34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2.95" customHeight="1" x14ac:dyDescent="0.3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"/>
      <c r="M20" s="3"/>
      <c r="N20" s="3"/>
      <c r="O20" s="27"/>
      <c r="P20" s="34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2.95" customHeight="1" x14ac:dyDescent="0.3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"/>
      <c r="M21" s="3"/>
      <c r="N21" s="3"/>
      <c r="O21" s="27"/>
      <c r="P21" s="34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2.95" customHeight="1" x14ac:dyDescent="0.3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"/>
      <c r="M22" s="3"/>
      <c r="N22" s="3"/>
      <c r="O22" s="27"/>
      <c r="P22" s="34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2.95" customHeight="1" x14ac:dyDescent="0.3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"/>
      <c r="M23" s="3"/>
      <c r="N23" s="3"/>
      <c r="O23" s="27"/>
      <c r="P23" s="34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2.95" customHeight="1" x14ac:dyDescent="0.3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28" t="str">
        <f t="shared" si="6"/>
        <v/>
      </c>
      <c r="M24" s="28" t="str">
        <f t="shared" si="6"/>
        <v/>
      </c>
      <c r="N24" s="28" t="str">
        <f t="shared" si="6"/>
        <v/>
      </c>
      <c r="O24" s="29" t="str">
        <f t="shared" si="6"/>
        <v/>
      </c>
      <c r="P24" s="33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2.95" customHeight="1" x14ac:dyDescent="0.3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"/>
      <c r="M25" s="3"/>
      <c r="N25" s="3"/>
      <c r="O25" s="27"/>
      <c r="P25" s="34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2.95" customHeight="1" x14ac:dyDescent="0.3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"/>
      <c r="M26" s="3"/>
      <c r="N26" s="3"/>
      <c r="O26" s="27"/>
      <c r="P26" s="34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2.95" customHeight="1" x14ac:dyDescent="0.3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"/>
      <c r="M27" s="3"/>
      <c r="N27" s="3"/>
      <c r="O27" s="27"/>
      <c r="P27" s="34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2.95" customHeight="1" x14ac:dyDescent="0.3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"/>
      <c r="M28" s="3"/>
      <c r="N28" s="3"/>
      <c r="O28" s="27"/>
      <c r="P28" s="34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2.95" customHeight="1" x14ac:dyDescent="0.3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"/>
      <c r="M29" s="3"/>
      <c r="N29" s="3"/>
      <c r="O29" s="27"/>
      <c r="P29" s="34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2.95" customHeight="1" x14ac:dyDescent="0.3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"/>
      <c r="M30" s="3"/>
      <c r="N30" s="3"/>
      <c r="O30" s="27"/>
      <c r="P30" s="34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2.95" customHeight="1" x14ac:dyDescent="0.3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"/>
      <c r="M31" s="3"/>
      <c r="N31" s="3"/>
      <c r="O31" s="27"/>
      <c r="P31" s="34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2.95" customHeight="1" x14ac:dyDescent="0.3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"/>
      <c r="M32" s="3"/>
      <c r="N32" s="3"/>
      <c r="O32" s="27"/>
      <c r="P32" s="34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2.95" customHeight="1" x14ac:dyDescent="0.3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"/>
      <c r="M33" s="3"/>
      <c r="N33" s="3"/>
      <c r="O33" s="27"/>
      <c r="P33" s="34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2.95" customHeight="1" x14ac:dyDescent="0.3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28" t="str">
        <f t="shared" si="9"/>
        <v/>
      </c>
      <c r="M34" s="28" t="str">
        <f t="shared" si="9"/>
        <v/>
      </c>
      <c r="N34" s="28" t="str">
        <f t="shared" si="9"/>
        <v/>
      </c>
      <c r="O34" s="29" t="str">
        <f t="shared" si="9"/>
        <v/>
      </c>
      <c r="P34" s="33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2.95" customHeight="1" x14ac:dyDescent="0.3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"/>
      <c r="M35" s="3"/>
      <c r="N35" s="3"/>
      <c r="O35" s="27"/>
      <c r="P35" s="34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2.95" customHeight="1" x14ac:dyDescent="0.3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"/>
      <c r="M36" s="3"/>
      <c r="N36" s="3"/>
      <c r="O36" s="27"/>
      <c r="P36" s="34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2.95" customHeight="1" x14ac:dyDescent="0.3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"/>
      <c r="M37" s="3"/>
      <c r="N37" s="3"/>
      <c r="O37" s="27"/>
      <c r="P37" s="34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2.95" customHeight="1" x14ac:dyDescent="0.3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"/>
      <c r="M38" s="3"/>
      <c r="N38" s="3"/>
      <c r="O38" s="27"/>
      <c r="P38" s="34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2.95" customHeight="1" x14ac:dyDescent="0.3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"/>
      <c r="M39" s="3"/>
      <c r="N39" s="3"/>
      <c r="O39" s="27"/>
      <c r="P39" s="34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2.95" customHeight="1" x14ac:dyDescent="0.3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"/>
      <c r="M40" s="3"/>
      <c r="N40" s="3"/>
      <c r="O40" s="27"/>
      <c r="P40" s="34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2.95" customHeight="1" x14ac:dyDescent="0.3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"/>
      <c r="M41" s="3"/>
      <c r="N41" s="3"/>
      <c r="O41" s="27"/>
      <c r="P41" s="34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2.95" customHeight="1" x14ac:dyDescent="0.3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"/>
      <c r="M42" s="3"/>
      <c r="N42" s="3"/>
      <c r="O42" s="27"/>
      <c r="P42" s="34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2.95" customHeight="1" x14ac:dyDescent="0.3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"/>
      <c r="M43" s="3"/>
      <c r="N43" s="3"/>
      <c r="O43" s="27"/>
      <c r="P43" s="34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2.95" customHeight="1" x14ac:dyDescent="0.3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28" t="str">
        <f t="shared" si="12"/>
        <v/>
      </c>
      <c r="M44" s="28" t="str">
        <f t="shared" si="12"/>
        <v/>
      </c>
      <c r="N44" s="28" t="str">
        <f t="shared" si="12"/>
        <v/>
      </c>
      <c r="O44" s="29" t="str">
        <f t="shared" si="12"/>
        <v/>
      </c>
      <c r="P44" s="33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2.95" customHeight="1" x14ac:dyDescent="0.3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"/>
      <c r="M45" s="3"/>
      <c r="N45" s="3"/>
      <c r="O45" s="27"/>
      <c r="P45" s="34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2.95" customHeight="1" x14ac:dyDescent="0.3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"/>
      <c r="M46" s="3"/>
      <c r="N46" s="3"/>
      <c r="O46" s="27"/>
      <c r="P46" s="34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2.95" customHeight="1" x14ac:dyDescent="0.3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"/>
      <c r="M47" s="3"/>
      <c r="N47" s="3"/>
      <c r="O47" s="27"/>
      <c r="P47" s="34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2.95" customHeight="1" x14ac:dyDescent="0.3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"/>
      <c r="M48" s="3"/>
      <c r="N48" s="3"/>
      <c r="O48" s="27"/>
      <c r="P48" s="34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2.95" customHeight="1" x14ac:dyDescent="0.3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"/>
      <c r="M49" s="3"/>
      <c r="N49" s="3"/>
      <c r="O49" s="27"/>
      <c r="P49" s="34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2.95" customHeight="1" x14ac:dyDescent="0.3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"/>
      <c r="M50" s="3"/>
      <c r="N50" s="3"/>
      <c r="O50" s="27"/>
      <c r="P50" s="34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2.95" customHeight="1" x14ac:dyDescent="0.3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"/>
      <c r="M51" s="3"/>
      <c r="N51" s="3"/>
      <c r="O51" s="27"/>
      <c r="P51" s="34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2.95" customHeight="1" x14ac:dyDescent="0.3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"/>
      <c r="M52" s="3"/>
      <c r="N52" s="3"/>
      <c r="O52" s="27"/>
      <c r="P52" s="34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2.95" customHeight="1" x14ac:dyDescent="0.3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"/>
      <c r="M53" s="3"/>
      <c r="N53" s="3"/>
      <c r="O53" s="27"/>
      <c r="P53" s="34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2.95" customHeight="1" x14ac:dyDescent="0.3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28" t="str">
        <f t="shared" si="15"/>
        <v/>
      </c>
      <c r="M54" s="28" t="str">
        <f t="shared" si="15"/>
        <v/>
      </c>
      <c r="N54" s="28" t="str">
        <f t="shared" si="15"/>
        <v/>
      </c>
      <c r="O54" s="29" t="str">
        <f t="shared" si="15"/>
        <v/>
      </c>
      <c r="P54" s="33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2.95" customHeight="1" x14ac:dyDescent="0.3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"/>
      <c r="M55" s="3"/>
      <c r="N55" s="3"/>
      <c r="O55" s="27"/>
      <c r="P55" s="34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2.95" customHeight="1" x14ac:dyDescent="0.3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"/>
      <c r="M56" s="3"/>
      <c r="N56" s="3"/>
      <c r="O56" s="27"/>
      <c r="P56" s="34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2.95" customHeight="1" x14ac:dyDescent="0.3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"/>
      <c r="M57" s="3"/>
      <c r="N57" s="3"/>
      <c r="O57" s="27"/>
      <c r="P57" s="34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2.95" customHeight="1" x14ac:dyDescent="0.3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"/>
      <c r="M58" s="3"/>
      <c r="N58" s="3"/>
      <c r="O58" s="27"/>
      <c r="P58" s="34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2.95" customHeight="1" x14ac:dyDescent="0.3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"/>
      <c r="M59" s="3"/>
      <c r="N59" s="3"/>
      <c r="O59" s="27"/>
      <c r="P59" s="34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2.95" customHeight="1" x14ac:dyDescent="0.3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"/>
      <c r="M60" s="3"/>
      <c r="N60" s="3"/>
      <c r="O60" s="27"/>
      <c r="P60" s="34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2.95" customHeight="1" x14ac:dyDescent="0.3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"/>
      <c r="M61" s="3"/>
      <c r="N61" s="3"/>
      <c r="O61" s="27"/>
      <c r="P61" s="34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2.95" customHeight="1" x14ac:dyDescent="0.3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"/>
      <c r="M62" s="3"/>
      <c r="N62" s="3"/>
      <c r="O62" s="27"/>
      <c r="P62" s="34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2.95" customHeight="1" x14ac:dyDescent="0.3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"/>
      <c r="M63" s="3"/>
      <c r="N63" s="3"/>
      <c r="O63" s="27"/>
      <c r="P63" s="34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2.95" customHeight="1" x14ac:dyDescent="0.3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28" t="str">
        <f t="shared" si="18"/>
        <v/>
      </c>
      <c r="M64" s="28" t="str">
        <f t="shared" si="18"/>
        <v/>
      </c>
      <c r="N64" s="28" t="str">
        <f t="shared" si="18"/>
        <v/>
      </c>
      <c r="O64" s="29" t="str">
        <f t="shared" si="18"/>
        <v/>
      </c>
      <c r="P64" s="33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2.95" customHeight="1" x14ac:dyDescent="0.3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"/>
      <c r="M65" s="3"/>
      <c r="N65" s="3"/>
      <c r="O65" s="27"/>
      <c r="P65" s="34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2.95" customHeight="1" x14ac:dyDescent="0.3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"/>
      <c r="M66" s="3"/>
      <c r="N66" s="3"/>
      <c r="O66" s="27"/>
      <c r="P66" s="34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2.95" customHeight="1" x14ac:dyDescent="0.3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"/>
      <c r="M67" s="3"/>
      <c r="N67" s="3"/>
      <c r="O67" s="27"/>
      <c r="P67" s="34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2.95" customHeight="1" x14ac:dyDescent="0.3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"/>
      <c r="M68" s="3"/>
      <c r="N68" s="3"/>
      <c r="O68" s="27"/>
      <c r="P68" s="34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2.95" customHeight="1" x14ac:dyDescent="0.3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"/>
      <c r="M69" s="3"/>
      <c r="N69" s="3"/>
      <c r="O69" s="27"/>
      <c r="P69" s="34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2.95" customHeight="1" x14ac:dyDescent="0.3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"/>
      <c r="M70" s="3"/>
      <c r="N70" s="3"/>
      <c r="O70" s="27"/>
      <c r="P70" s="34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2.95" customHeight="1" x14ac:dyDescent="0.3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"/>
      <c r="M71" s="3"/>
      <c r="N71" s="3"/>
      <c r="O71" s="27"/>
      <c r="P71" s="34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2.95" customHeight="1" x14ac:dyDescent="0.3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"/>
      <c r="M72" s="3"/>
      <c r="N72" s="3"/>
      <c r="O72" s="27"/>
      <c r="P72" s="34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2.95" customHeight="1" x14ac:dyDescent="0.3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"/>
      <c r="M73" s="3"/>
      <c r="N73" s="3"/>
      <c r="O73" s="27"/>
      <c r="P73" s="34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2.95" customHeight="1" x14ac:dyDescent="0.3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28" t="str">
        <f t="shared" si="21"/>
        <v/>
      </c>
      <c r="M74" s="28" t="str">
        <f t="shared" si="21"/>
        <v/>
      </c>
      <c r="N74" s="28" t="str">
        <f t="shared" si="21"/>
        <v/>
      </c>
      <c r="O74" s="29" t="str">
        <f t="shared" si="21"/>
        <v/>
      </c>
      <c r="P74" s="33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2.95" customHeight="1" x14ac:dyDescent="0.3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"/>
      <c r="M75" s="3"/>
      <c r="N75" s="3"/>
      <c r="O75" s="27"/>
      <c r="P75" s="34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2.95" customHeight="1" x14ac:dyDescent="0.3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"/>
      <c r="M76" s="3"/>
      <c r="N76" s="3"/>
      <c r="O76" s="27"/>
      <c r="P76" s="34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2.95" customHeight="1" x14ac:dyDescent="0.3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"/>
      <c r="M77" s="3"/>
      <c r="N77" s="3"/>
      <c r="O77" s="27"/>
      <c r="P77" s="34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2.95" customHeight="1" x14ac:dyDescent="0.3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"/>
      <c r="M78" s="3"/>
      <c r="N78" s="3"/>
      <c r="O78" s="27"/>
      <c r="P78" s="34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2.95" customHeight="1" x14ac:dyDescent="0.3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"/>
      <c r="M79" s="3"/>
      <c r="N79" s="3"/>
      <c r="O79" s="27"/>
      <c r="P79" s="34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2.95" customHeight="1" x14ac:dyDescent="0.3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"/>
      <c r="M80" s="3"/>
      <c r="N80" s="3"/>
      <c r="O80" s="27"/>
      <c r="P80" s="34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2.95" customHeight="1" x14ac:dyDescent="0.3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"/>
      <c r="M81" s="3"/>
      <c r="N81" s="3"/>
      <c r="O81" s="27"/>
      <c r="P81" s="34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2.95" customHeight="1" x14ac:dyDescent="0.3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"/>
      <c r="M82" s="3"/>
      <c r="N82" s="3"/>
      <c r="O82" s="27"/>
      <c r="P82" s="34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2.95" customHeight="1" x14ac:dyDescent="0.3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"/>
      <c r="M83" s="3"/>
      <c r="N83" s="3"/>
      <c r="O83" s="27"/>
      <c r="P83" s="34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2.95" customHeight="1" x14ac:dyDescent="0.3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28" t="str">
        <f t="shared" si="24"/>
        <v/>
      </c>
      <c r="M84" s="28" t="str">
        <f t="shared" si="24"/>
        <v/>
      </c>
      <c r="N84" s="28" t="str">
        <f t="shared" si="24"/>
        <v/>
      </c>
      <c r="O84" s="29" t="str">
        <f t="shared" si="24"/>
        <v/>
      </c>
      <c r="P84" s="33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2.95" customHeight="1" x14ac:dyDescent="0.3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"/>
      <c r="M85" s="3"/>
      <c r="N85" s="3"/>
      <c r="O85" s="27"/>
      <c r="P85" s="34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2.95" customHeight="1" x14ac:dyDescent="0.3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"/>
      <c r="M86" s="3"/>
      <c r="N86" s="3"/>
      <c r="O86" s="27"/>
      <c r="P86" s="34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2.95" customHeight="1" x14ac:dyDescent="0.3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"/>
      <c r="M87" s="3"/>
      <c r="N87" s="3"/>
      <c r="O87" s="27"/>
      <c r="P87" s="34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2.95" customHeight="1" x14ac:dyDescent="0.3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"/>
      <c r="M88" s="3"/>
      <c r="N88" s="3"/>
      <c r="O88" s="27"/>
      <c r="P88" s="34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2.95" customHeight="1" x14ac:dyDescent="0.3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"/>
      <c r="M89" s="3"/>
      <c r="N89" s="3"/>
      <c r="O89" s="27"/>
      <c r="P89" s="34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2.95" customHeight="1" x14ac:dyDescent="0.3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"/>
      <c r="M90" s="3"/>
      <c r="N90" s="3"/>
      <c r="O90" s="27"/>
      <c r="P90" s="34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2.95" customHeight="1" x14ac:dyDescent="0.3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"/>
      <c r="M91" s="3"/>
      <c r="N91" s="3"/>
      <c r="O91" s="27"/>
      <c r="P91" s="34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2.95" customHeight="1" x14ac:dyDescent="0.3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"/>
      <c r="M92" s="3"/>
      <c r="N92" s="3"/>
      <c r="O92" s="27"/>
      <c r="P92" s="34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2.95" customHeight="1" x14ac:dyDescent="0.3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"/>
      <c r="M93" s="3"/>
      <c r="N93" s="3"/>
      <c r="O93" s="27"/>
      <c r="P93" s="34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2.95" customHeight="1" x14ac:dyDescent="0.3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28" t="str">
        <f t="shared" si="27"/>
        <v/>
      </c>
      <c r="M94" s="28" t="str">
        <f t="shared" si="27"/>
        <v/>
      </c>
      <c r="N94" s="28" t="str">
        <f t="shared" si="27"/>
        <v/>
      </c>
      <c r="O94" s="29" t="str">
        <f t="shared" si="27"/>
        <v/>
      </c>
      <c r="P94" s="33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2.95" customHeight="1" x14ac:dyDescent="0.3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"/>
      <c r="M95" s="3"/>
      <c r="N95" s="3"/>
      <c r="O95" s="27"/>
      <c r="P95" s="34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2.95" customHeight="1" x14ac:dyDescent="0.3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"/>
      <c r="M96" s="3"/>
      <c r="N96" s="3"/>
      <c r="O96" s="27"/>
      <c r="P96" s="34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2.95" customHeight="1" x14ac:dyDescent="0.3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"/>
      <c r="M97" s="3"/>
      <c r="N97" s="3"/>
      <c r="O97" s="27"/>
      <c r="P97" s="34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2.95" customHeight="1" x14ac:dyDescent="0.3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"/>
      <c r="M98" s="3"/>
      <c r="N98" s="3"/>
      <c r="O98" s="27"/>
      <c r="P98" s="34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2.95" customHeight="1" x14ac:dyDescent="0.3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"/>
      <c r="M99" s="3"/>
      <c r="N99" s="3"/>
      <c r="O99" s="27"/>
      <c r="P99" s="34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2.95" customHeight="1" x14ac:dyDescent="0.3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"/>
      <c r="M100" s="3"/>
      <c r="N100" s="3"/>
      <c r="O100" s="27"/>
      <c r="P100" s="34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2.95" customHeight="1" x14ac:dyDescent="0.3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"/>
      <c r="M101" s="3"/>
      <c r="N101" s="3"/>
      <c r="O101" s="27"/>
      <c r="P101" s="34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2.95" customHeight="1" x14ac:dyDescent="0.3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"/>
      <c r="M102" s="3"/>
      <c r="N102" s="3"/>
      <c r="O102" s="27"/>
      <c r="P102" s="34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2.95" customHeight="1" x14ac:dyDescent="0.3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"/>
      <c r="M103" s="3"/>
      <c r="N103" s="3"/>
      <c r="O103" s="27"/>
      <c r="P103" s="34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2.95" customHeight="1" x14ac:dyDescent="0.3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28" t="str">
        <f t="shared" si="30"/>
        <v/>
      </c>
      <c r="M104" s="28" t="str">
        <f t="shared" si="30"/>
        <v/>
      </c>
      <c r="N104" s="28" t="str">
        <f t="shared" si="30"/>
        <v/>
      </c>
      <c r="O104" s="29" t="str">
        <f t="shared" si="30"/>
        <v/>
      </c>
      <c r="P104" s="33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2.95" customHeight="1" x14ac:dyDescent="0.3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"/>
      <c r="M105" s="3"/>
      <c r="N105" s="3"/>
      <c r="O105" s="27"/>
      <c r="P105" s="34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2.95" customHeight="1" x14ac:dyDescent="0.3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"/>
      <c r="M106" s="3"/>
      <c r="N106" s="3"/>
      <c r="O106" s="27"/>
      <c r="P106" s="34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2.95" customHeight="1" x14ac:dyDescent="0.3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"/>
      <c r="M107" s="3"/>
      <c r="N107" s="3"/>
      <c r="O107" s="27"/>
      <c r="P107" s="34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2.95" customHeight="1" x14ac:dyDescent="0.3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"/>
      <c r="M108" s="3"/>
      <c r="N108" s="3"/>
      <c r="O108" s="27"/>
      <c r="P108" s="34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2.95" customHeight="1" x14ac:dyDescent="0.3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"/>
      <c r="M109" s="3"/>
      <c r="N109" s="3"/>
      <c r="O109" s="27"/>
      <c r="P109" s="34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2.95" customHeight="1" x14ac:dyDescent="0.3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"/>
      <c r="M110" s="3"/>
      <c r="N110" s="3"/>
      <c r="O110" s="27"/>
      <c r="P110" s="34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2.95" customHeight="1" x14ac:dyDescent="0.3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"/>
      <c r="M111" s="3"/>
      <c r="N111" s="3"/>
      <c r="O111" s="27"/>
      <c r="P111" s="34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2.95" customHeight="1" x14ac:dyDescent="0.3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"/>
      <c r="M112" s="3"/>
      <c r="N112" s="3"/>
      <c r="O112" s="27"/>
      <c r="P112" s="34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2.95" customHeight="1" x14ac:dyDescent="0.3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"/>
      <c r="M113" s="3"/>
      <c r="N113" s="3"/>
      <c r="O113" s="27"/>
      <c r="P113" s="34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2.95" customHeight="1" x14ac:dyDescent="0.3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28" t="str">
        <f t="shared" si="33"/>
        <v/>
      </c>
      <c r="M114" s="28" t="str">
        <f t="shared" si="33"/>
        <v/>
      </c>
      <c r="N114" s="28" t="str">
        <f t="shared" si="33"/>
        <v/>
      </c>
      <c r="O114" s="29" t="str">
        <f t="shared" si="33"/>
        <v/>
      </c>
      <c r="P114" s="33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2.95" customHeight="1" x14ac:dyDescent="0.3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"/>
      <c r="M115" s="3"/>
      <c r="N115" s="3"/>
      <c r="O115" s="27"/>
      <c r="P115" s="34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2.95" customHeight="1" x14ac:dyDescent="0.3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"/>
      <c r="M116" s="3"/>
      <c r="N116" s="3"/>
      <c r="O116" s="27"/>
      <c r="P116" s="34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2.95" customHeight="1" x14ac:dyDescent="0.3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"/>
      <c r="M117" s="3"/>
      <c r="N117" s="3"/>
      <c r="O117" s="27"/>
      <c r="P117" s="34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2.95" customHeight="1" x14ac:dyDescent="0.3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"/>
      <c r="M118" s="3"/>
      <c r="N118" s="3"/>
      <c r="O118" s="27"/>
      <c r="P118" s="34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2.95" customHeight="1" x14ac:dyDescent="0.3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"/>
      <c r="M119" s="3"/>
      <c r="N119" s="3"/>
      <c r="O119" s="27"/>
      <c r="P119" s="34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2.95" customHeight="1" x14ac:dyDescent="0.3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"/>
      <c r="M120" s="3"/>
      <c r="N120" s="3"/>
      <c r="O120" s="27"/>
      <c r="P120" s="34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2.95" customHeight="1" x14ac:dyDescent="0.3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"/>
      <c r="M121" s="3"/>
      <c r="N121" s="3"/>
      <c r="O121" s="27"/>
      <c r="P121" s="34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2.95" customHeight="1" x14ac:dyDescent="0.3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"/>
      <c r="M122" s="3"/>
      <c r="N122" s="3"/>
      <c r="O122" s="27"/>
      <c r="P122" s="34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2.95" customHeight="1" x14ac:dyDescent="0.3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"/>
      <c r="M123" s="3"/>
      <c r="N123" s="3"/>
      <c r="O123" s="27"/>
      <c r="P123" s="34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2.95" customHeight="1" x14ac:dyDescent="0.3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28" t="str">
        <f t="shared" si="36"/>
        <v/>
      </c>
      <c r="M124" s="28" t="str">
        <f t="shared" si="36"/>
        <v/>
      </c>
      <c r="N124" s="28" t="str">
        <f t="shared" si="36"/>
        <v/>
      </c>
      <c r="O124" s="29" t="str">
        <f t="shared" si="36"/>
        <v/>
      </c>
      <c r="P124" s="33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2.95" customHeight="1" x14ac:dyDescent="0.3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"/>
      <c r="M125" s="3"/>
      <c r="N125" s="3"/>
      <c r="O125" s="27"/>
      <c r="P125" s="34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3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3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3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3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3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3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3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3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3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3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3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3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3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3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3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3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3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3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3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3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3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3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3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3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3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3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3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3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3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3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3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3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3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3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3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3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3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3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3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3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3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3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3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3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3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3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3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3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3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3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3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3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3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3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3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3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3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3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3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3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3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3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3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3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3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3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3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3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3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3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3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3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3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3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3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3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3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3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3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3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3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3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3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3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3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3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3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3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3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3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3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3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3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3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3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3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3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3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3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3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3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3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3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3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3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3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3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3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3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3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3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3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3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3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3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3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3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3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3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3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3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3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3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3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3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3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3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3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3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3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3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3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3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3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3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3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3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3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3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3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3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3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3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3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3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3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3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3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3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3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3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3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3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3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3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3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3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3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3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3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3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3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3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3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3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3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3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3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3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3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3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3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3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3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3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3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3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3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3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3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3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3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3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3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3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3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3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3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3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3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3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3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3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3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3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3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3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3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3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3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3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3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3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3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3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3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3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3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3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3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3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3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3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3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3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3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3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3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3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3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3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3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3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3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3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3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3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3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3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3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3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3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3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3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3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3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3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3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3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3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3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3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3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3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3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3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3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3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3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3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3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3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3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3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3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3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3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3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3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3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3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3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3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3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3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3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3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3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3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3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3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3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3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3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3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3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3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3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3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3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3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3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3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3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3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3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3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3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3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3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3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3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3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3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3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3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3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3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3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3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3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3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3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3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3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3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3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3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3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3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3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3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3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3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3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3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3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3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3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3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3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3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3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3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3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3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3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3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3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3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3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3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3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3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3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3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3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3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3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3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3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3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3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3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3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3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3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3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3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3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3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3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3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3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3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3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3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3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3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3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3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3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3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3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3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3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3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3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3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3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3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3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3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3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3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3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3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3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3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3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3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3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3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3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3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3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3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3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3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3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3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3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3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3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3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3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3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3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3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3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3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3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3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3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3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3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3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3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3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3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3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3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3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3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3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3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3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3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3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3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3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3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3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3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3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3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3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3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3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3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3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3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3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3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3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3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3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3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3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3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3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3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3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3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3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3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3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3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3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3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3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3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3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3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3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3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3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3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3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3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3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3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3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3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3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3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3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3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3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3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3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3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3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3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3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3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3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3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3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3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3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3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3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3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3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3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3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3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3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3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3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3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3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3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3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3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3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3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3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3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3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3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3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3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3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3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3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3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3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3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3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3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3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3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3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3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3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3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3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3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3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3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3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3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3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3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3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3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3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3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3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3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3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3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3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3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3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3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3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3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3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3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3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3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3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3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3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3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3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3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3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3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3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3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3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3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3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3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3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3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3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3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3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3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3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3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3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3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3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3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3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3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3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3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3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3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3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3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3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3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3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3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3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3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3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3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3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3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3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3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3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3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3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3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3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3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3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3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3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3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3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3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3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3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3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3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3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3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3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3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3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3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3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3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3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3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3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3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3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3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3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3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3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3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3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3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3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3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3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3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3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3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3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3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3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3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3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3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3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3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3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3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3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3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3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3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3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3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3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3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3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3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3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3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3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3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3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3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3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3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3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3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3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3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3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3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3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3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3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3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3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3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3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3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3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3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3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3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3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3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3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3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3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3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3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3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3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3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3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3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3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3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3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3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3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3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3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3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3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3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3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3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3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3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3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3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3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3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3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3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3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3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3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3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3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3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3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3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3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3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3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3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3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3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3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3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3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3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3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3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3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3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3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3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3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3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3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3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3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3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3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3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3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3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3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3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3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3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3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3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3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3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3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3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3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3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3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3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3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3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3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3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3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3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3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3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3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3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3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3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3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3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3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3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3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3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3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3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3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3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3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3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3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3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3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3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3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3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3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3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3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3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3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3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3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3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3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3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3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3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3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3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3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3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3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3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3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3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3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3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3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3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3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3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3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3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3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3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3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3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3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3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3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3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3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3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3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3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3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3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3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3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3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3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3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3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3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3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3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3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3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3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3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3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3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3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3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3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3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3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3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3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3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3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3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3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3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3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3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3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3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3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3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3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3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3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3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3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3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3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3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3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3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3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3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3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3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3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3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3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3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3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3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3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3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3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3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3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3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3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3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3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3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3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3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3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3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3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3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3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3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3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3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3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3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3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3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3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3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3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3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3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3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3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3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3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3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3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3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3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3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3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3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3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3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3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3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3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3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3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3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3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3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3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3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3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3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3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3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3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3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3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3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3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3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3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3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3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3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3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3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3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3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3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3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3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3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3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3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3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3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3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3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3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3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3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3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3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3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3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3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3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3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3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3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3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3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3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3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3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3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3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3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3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3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3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3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3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3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3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3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3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3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3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3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3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3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3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3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3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3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3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3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3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3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3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3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3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3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3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3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3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3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3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3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3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3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3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3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3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3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3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3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3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3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3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3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3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3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3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3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3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3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3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3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3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3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3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3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3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3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3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3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3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3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3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3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3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3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3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3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3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3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3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3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3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3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3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3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3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3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3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3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3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3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3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3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3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3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3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3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3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3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3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3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3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3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3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3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3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3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3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3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3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3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3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3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3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3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3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3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3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3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3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3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3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3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3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3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3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3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3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3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3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3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3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3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3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3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3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3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3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3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3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3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3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3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3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3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3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3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3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3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3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3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3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3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3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3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3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3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3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3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3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3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3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3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3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3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3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3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3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3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3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3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3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3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3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3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3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3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3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3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3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3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3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3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3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3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3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3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3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3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3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3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3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3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3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3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3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3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3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3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3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3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3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3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3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3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3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3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3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3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3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3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3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3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3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3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3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3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3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3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3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3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3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3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3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3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3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3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3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3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3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3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3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3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3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3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3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3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3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3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3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3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3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3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3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3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3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3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3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3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3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3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3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3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3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3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3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3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3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3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3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3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3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3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3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3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3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3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3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3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3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3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3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3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3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3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3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3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3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3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3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3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3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3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3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3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3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3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3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3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3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3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3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3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3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3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3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3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3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3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3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3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3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3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3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3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3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3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3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3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3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3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3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3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3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3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3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3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3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3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3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3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3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3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3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3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3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3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3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3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3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3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3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3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3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3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3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3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3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3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3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3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3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3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3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3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3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3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3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3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3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3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3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3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3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3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3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3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3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3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3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3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3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3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3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3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3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3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3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3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3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3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3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3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3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3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3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3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3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3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3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3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3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3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214" r:id="rId4" name="CommandButton1">
          <controlPr defaultSize="0" autoLine="0" autoPict="0" r:id="rId5">
            <anchor moveWithCells="1">
              <from>
                <xdr:col>1</xdr:col>
                <xdr:colOff>60960</xdr:colOff>
                <xdr:row>1</xdr:row>
                <xdr:rowOff>144780</xdr:rowOff>
              </from>
              <to>
                <xdr:col>2</xdr:col>
                <xdr:colOff>899160</xdr:colOff>
                <xdr:row>2</xdr:row>
                <xdr:rowOff>220980</xdr:rowOff>
              </to>
            </anchor>
          </controlPr>
        </control>
      </mc:Choice>
      <mc:Fallback>
        <control shapeId="4214" r:id="rId4" name="CommandButton1"/>
      </mc:Fallback>
    </mc:AlternateContent>
    <mc:AlternateContent xmlns:mc="http://schemas.openxmlformats.org/markup-compatibility/2006">
      <mc:Choice Requires="x14">
        <control shapeId="2826" r:id="rId6" name="ComboBox3">
          <controlPr defaultSize="0" autoLine="0" r:id="rId7">
            <anchor moveWithCells="1">
              <from>
                <xdr:col>11</xdr:col>
                <xdr:colOff>45720</xdr:colOff>
                <xdr:row>0</xdr:row>
                <xdr:rowOff>175260</xdr:rowOff>
              </from>
              <to>
                <xdr:col>13</xdr:col>
                <xdr:colOff>160020</xdr:colOff>
                <xdr:row>0</xdr:row>
                <xdr:rowOff>403860</xdr:rowOff>
              </to>
            </anchor>
          </controlPr>
        </control>
      </mc:Choice>
      <mc:Fallback>
        <control shapeId="2826" r:id="rId6" name="ComboBox3"/>
      </mc:Fallback>
    </mc:AlternateContent>
    <mc:AlternateContent xmlns:mc="http://schemas.openxmlformats.org/markup-compatibility/2006">
      <mc:Choice Requires="x14">
        <control shapeId="1240" r:id="rId8" name="ComboBox1">
          <controlPr defaultSize="0" autoLine="0" r:id="rId9">
            <anchor moveWithCells="1">
              <from>
                <xdr:col>1</xdr:col>
                <xdr:colOff>289560</xdr:colOff>
                <xdr:row>0</xdr:row>
                <xdr:rowOff>289560</xdr:rowOff>
              </from>
              <to>
                <xdr:col>2</xdr:col>
                <xdr:colOff>670560</xdr:colOff>
                <xdr:row>0</xdr:row>
                <xdr:rowOff>525780</xdr:rowOff>
              </to>
            </anchor>
          </controlPr>
        </control>
      </mc:Choice>
      <mc:Fallback>
        <control shapeId="1240" r:id="rId8" name="ComboBox1"/>
      </mc:Fallback>
    </mc:AlternateContent>
    <mc:AlternateContent xmlns:mc="http://schemas.openxmlformats.org/markup-compatibility/2006">
      <mc:Choice Requires="x14">
        <control shapeId="1241" r:id="rId10" name="ComboBox2">
          <controlPr defaultSize="0" autoLine="0" r:id="rId11">
            <anchor moveWithCells="1">
              <from>
                <xdr:col>1</xdr:col>
                <xdr:colOff>297180</xdr:colOff>
                <xdr:row>0</xdr:row>
                <xdr:rowOff>30480</xdr:rowOff>
              </from>
              <to>
                <xdr:col>2</xdr:col>
                <xdr:colOff>678180</xdr:colOff>
                <xdr:row>0</xdr:row>
                <xdr:rowOff>266700</xdr:rowOff>
              </to>
            </anchor>
          </controlPr>
        </control>
      </mc:Choice>
      <mc:Fallback>
        <control shapeId="1241" r:id="rId10" name="ComboBox2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693420</xdr:colOff>
                <xdr:row>0</xdr:row>
                <xdr:rowOff>297180</xdr:rowOff>
              </from>
              <to>
                <xdr:col>2</xdr:col>
                <xdr:colOff>876300</xdr:colOff>
                <xdr:row>0</xdr:row>
                <xdr:rowOff>487680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60960</xdr:colOff>
                <xdr:row>0</xdr:row>
                <xdr:rowOff>304800</xdr:rowOff>
              </from>
              <to>
                <xdr:col>1</xdr:col>
                <xdr:colOff>236220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Yanis Guezouli</cp:lastModifiedBy>
  <cp:lastPrinted>2020-12-09T12:47:45Z</cp:lastPrinted>
  <dcterms:created xsi:type="dcterms:W3CDTF">2015-05-13T13:15:15Z</dcterms:created>
  <dcterms:modified xsi:type="dcterms:W3CDTF">2021-01-31T15:42:58Z</dcterms:modified>
</cp:coreProperties>
</file>