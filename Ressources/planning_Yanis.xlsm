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00AB897D-3954-4DD0-97DD-AAE1D61B7CDF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7" l="1"/>
  <c r="F2" i="7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9" i="7"/>
  <c r="H2" i="7"/>
  <c r="H6" i="7"/>
  <c r="F3" i="7"/>
  <c r="H7" i="7"/>
  <c r="H8" i="7"/>
  <c r="F8" i="7"/>
  <c r="F6" i="7"/>
  <c r="H5" i="7"/>
  <c r="F4" i="7"/>
  <c r="H3" i="7"/>
  <c r="F5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Yanis Guezouli</author>
  </authors>
  <commentList>
    <comment ref="AB3" authorId="0" shapeId="0" xr:uid="{A3B10FE8-127C-4D71-977B-3C37CA593D8E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A26D2858-4B8F-47BF-806C-15F8FB6734DD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<sst xmlns="http://schemas.openxmlformats.org/spreadsheetml/2006/main" count="36" uniqueCount="23">
  <si>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</si>
  <si>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</si>
  <si>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</si>
  <si>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</si>
  <si>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</si>
  <si>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</si>
  <si>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</si>
  <si>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</si>
  <si>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</si>
  <si>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</si>
  <si>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</si>
  <si>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</si>
  <si>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</si>
  <si>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Page Articles</t>
  </si>
  <si>
    <t xml:space="preserve">Yanis </t>
  </si>
  <si>
    <t>Ajout navbar + sidebar</t>
  </si>
  <si>
    <t>Ajout carousel article</t>
  </si>
  <si>
    <t>Mise en page des articles et catégories</t>
  </si>
  <si>
    <t xml:space="preserve">Création d'une barre de recherche </t>
  </si>
  <si>
    <t>Correction graphique</t>
  </si>
  <si>
    <t>Rendu responsive (reprise le 25/01)</t>
  </si>
  <si>
    <t xml:space="preserve">Création page panier 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</si>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</sst>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9" name="_4|1|44174|4417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Yanis 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11</xdr:col>
      <xdr:colOff>180340</xdr:colOff>
      <xdr:row>3</xdr:row>
      <xdr:rowOff>251460</xdr:rowOff>
    </xdr:to>
    <xdr:sp macro="Fiche" textlink="">
      <xdr:nvSpPr>
        <xdr:cNvPr id="10" name="__Page Article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85540" y="140208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11</xdr:col>
      <xdr:colOff>180340</xdr:colOff>
      <xdr:row>4</xdr:row>
      <xdr:rowOff>264160</xdr:rowOff>
    </xdr:to>
    <xdr:sp macro="Fiche" textlink="">
      <xdr:nvSpPr>
        <xdr:cNvPr id="11" name="_5|2|44174|4417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660140" y="1503680"/>
          <a:ext cx="15494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Yanis 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11</xdr:col>
      <xdr:colOff>180340</xdr:colOff>
      <xdr:row>4</xdr:row>
      <xdr:rowOff>251460</xdr:rowOff>
    </xdr:to>
    <xdr:sp macro="Fiche" textlink="">
      <xdr:nvSpPr>
        <xdr:cNvPr id="12" name="__Ajout navbar + sidebar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685540" y="169164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25400</xdr:colOff>
      <xdr:row>5</xdr:row>
      <xdr:rowOff>25400</xdr:rowOff>
    </xdr:from>
    <xdr:to>
      <xdr:col>12</xdr:col>
      <xdr:colOff>180340</xdr:colOff>
      <xdr:row>5</xdr:row>
      <xdr:rowOff>264160</xdr:rowOff>
    </xdr:to>
    <xdr:sp macro="Fiche" textlink="">
      <xdr:nvSpPr>
        <xdr:cNvPr id="13" name="_6|3|44175|44175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865880" y="1793240"/>
          <a:ext cx="15494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  <xdr:twoCellAnchor>
    <xdr:from>
      <xdr:col>12</xdr:col>
      <xdr:colOff>50800</xdr:colOff>
      <xdr:row>5</xdr:row>
      <xdr:rowOff>213360</xdr:rowOff>
    </xdr:from>
    <xdr:to>
      <xdr:col>12</xdr:col>
      <xdr:colOff>180340</xdr:colOff>
      <xdr:row>5</xdr:row>
      <xdr:rowOff>251460</xdr:rowOff>
    </xdr:to>
    <xdr:sp macro="Fiche" textlink="">
      <xdr:nvSpPr>
        <xdr:cNvPr id="14" name="__Ajout carousel artic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89128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15" name="_7|3|44177|44177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Yanis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13" sqref="G13"/>
    </sheetView>
  </sheetViews>
  <sheetFormatPr baseColWidth="10" defaultRowHeight="14.4" x14ac:dyDescent="0.3"/>
  <cols>
    <col min="1" max="1" width="6.5546875" customWidth="1"/>
    <col min="2" max="2" width="32.6640625" style="10" bestFit="1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13</v>
      </c>
      <c r="C2" s="37" t="s">
        <v>14</v>
      </c>
      <c r="D2" s="38">
        <v>44174</v>
      </c>
      <c r="E2" s="35">
        <v>3</v>
      </c>
      <c r="F2" s="39">
        <f t="shared" ref="F2:F5" si="0">WORKDAY(D2,E2-1,tferies(YEAR(D2)))</f>
        <v>44176</v>
      </c>
      <c r="G2" s="40">
        <v>0.8</v>
      </c>
      <c r="H2" s="47">
        <f t="shared" ref="H2:H5" si="1">IF(G2&gt;0,WORKDAY(D2,(E2*G2)-1,tferies(YEAR(D2))),"")</f>
        <v>44175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15</v>
      </c>
      <c r="C3" s="37" t="s">
        <v>14</v>
      </c>
      <c r="D3" s="38">
        <v>44174</v>
      </c>
      <c r="E3" s="35">
        <v>1</v>
      </c>
      <c r="F3" s="39">
        <f t="shared" si="0"/>
        <v>44174</v>
      </c>
      <c r="G3" s="40">
        <v>1</v>
      </c>
      <c r="H3" s="47">
        <f t="shared" si="1"/>
        <v>44174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 t="s">
        <v>14</v>
      </c>
      <c r="D4" s="38">
        <v>44175</v>
      </c>
      <c r="E4" s="35">
        <v>1</v>
      </c>
      <c r="F4" s="39">
        <f t="shared" si="0"/>
        <v>44175</v>
      </c>
      <c r="G4" s="40">
        <v>1</v>
      </c>
      <c r="H4" s="47">
        <f t="shared" si="1"/>
        <v>44175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14</v>
      </c>
      <c r="D5" s="38">
        <v>44177</v>
      </c>
      <c r="E5" s="35">
        <v>2</v>
      </c>
      <c r="F5" s="39">
        <f t="shared" si="0"/>
        <v>44179</v>
      </c>
      <c r="G5" s="40">
        <v>0.9</v>
      </c>
      <c r="H5" s="47">
        <f t="shared" si="1"/>
        <v>44177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19</v>
      </c>
      <c r="C6" s="37" t="s">
        <v>14</v>
      </c>
      <c r="D6" s="38">
        <v>44180</v>
      </c>
      <c r="E6" s="35">
        <v>1</v>
      </c>
      <c r="F6" s="39">
        <f>WORKDAY(D6,E6-1,tferies(YEAR(D6)))</f>
        <v>44180</v>
      </c>
      <c r="G6" s="40">
        <v>1</v>
      </c>
      <c r="H6" s="47">
        <f>IF(G6&gt;0,WORKDAY(D6,(E6*G6)-1,tferies(YEAR(D6))),"")</f>
        <v>44180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20</v>
      </c>
      <c r="C7" s="37" t="s">
        <v>14</v>
      </c>
      <c r="D7" s="38">
        <v>44183</v>
      </c>
      <c r="E7" s="35">
        <v>2</v>
      </c>
      <c r="F7" s="39">
        <f>WORKDAY(D7,E7-1,tferies(YEAR(D7)))</f>
        <v>44186</v>
      </c>
      <c r="G7" s="40"/>
      <c r="H7" s="47" t="str">
        <f>IF(G7&gt;0,WORKDAY(D7,(E7*G7)-1,tferies(YEAR(D7))),"")</f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18</v>
      </c>
      <c r="C8" s="37" t="s">
        <v>14</v>
      </c>
      <c r="D8" s="38">
        <v>43859</v>
      </c>
      <c r="E8" s="35">
        <v>2</v>
      </c>
      <c r="F8" s="39">
        <f>WORKDAY(D8,E8-1,tferies(YEAR(D8)))</f>
        <v>43860</v>
      </c>
      <c r="G8" s="40">
        <v>0.1</v>
      </c>
      <c r="H8" s="47">
        <f>IF(G8&gt;0,WORKDAY(D8,(E8*G8)-1,tferies(YEAR(D8))),"")</f>
        <v>43858</v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 t="s">
        <v>21</v>
      </c>
      <c r="C9" s="37" t="s">
        <v>14</v>
      </c>
      <c r="D9" s="38" t="s">
        <v>22</v>
      </c>
      <c r="E9" s="35" t="s">
        <v>22</v>
      </c>
      <c r="F9" s="39" t="s">
        <v>22</v>
      </c>
      <c r="G9" s="40">
        <v>0</v>
      </c>
      <c r="H9" s="47" t="str">
        <f t="shared" ref="H9" si="2">IF(G9&gt;0,WORKDAY(D9,(E9*G9)-1,tferies(YEAR(D9))),"")</f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M6" sqref="AM6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2.95" customHeight="1" x14ac:dyDescent="0.3">
      <c r="A4" s="4"/>
      <c r="B4" s="15" t="s">
        <v>13</v>
      </c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2.95" customHeight="1" x14ac:dyDescent="0.3">
      <c r="A5" s="5"/>
      <c r="B5" s="15" t="s">
        <v>15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2.95" customHeight="1" x14ac:dyDescent="0.3">
      <c r="A6" s="6"/>
      <c r="B6" s="15" t="s">
        <v>16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2.95" customHeight="1" x14ac:dyDescent="0.3">
      <c r="A7" s="4"/>
      <c r="B7" s="15" t="s">
        <v>17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2.95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28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33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28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33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28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33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28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33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28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33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28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33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28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33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28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33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28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33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28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33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28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33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28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33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Yanis Guezouli</cp:lastModifiedBy>
  <cp:lastPrinted>2020-12-09T12:47:45Z</cp:lastPrinted>
  <dcterms:created xsi:type="dcterms:W3CDTF">2015-05-13T13:15:15Z</dcterms:created>
  <dcterms:modified xsi:type="dcterms:W3CDTF">2021-01-31T12:08:11Z</dcterms:modified>
</cp:coreProperties>
</file>